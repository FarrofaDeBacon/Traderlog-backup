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OS\TraderLogPro\"/>
    </mc:Choice>
  </mc:AlternateContent>
  <xr:revisionPtr revIDLastSave="0" documentId="13_ncr:1_{B6E15778-42B5-4253-9831-E5C420269DF6}" xr6:coauthVersionLast="47" xr6:coauthVersionMax="47" xr10:uidLastSave="{00000000-0000-0000-0000-000000000000}"/>
  <bookViews>
    <workbookView xWindow="1900" yWindow="1900" windowWidth="25800" windowHeight="10010" xr2:uid="{00000000-000D-0000-FFFF-FFFF00000000}"/>
  </bookViews>
  <sheets>
    <sheet name="Ações" sheetId="1" r:id="rId1"/>
    <sheet name="Futur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2" l="1"/>
  <c r="C2" i="2"/>
  <c r="D2" i="2"/>
  <c r="E2" i="2"/>
  <c r="F2" i="2"/>
  <c r="G2" i="2"/>
  <c r="H2" i="2"/>
  <c r="I2" i="2"/>
  <c r="J2" i="2"/>
  <c r="K2" i="2"/>
  <c r="L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AT2" i="2"/>
  <c r="AU2" i="2"/>
  <c r="AV2" i="2"/>
  <c r="AW2" i="2"/>
  <c r="AX2" i="2"/>
  <c r="AY2" i="2"/>
  <c r="AZ2" i="2"/>
  <c r="B3" i="2"/>
  <c r="C3" i="2"/>
  <c r="D3" i="2"/>
  <c r="E3" i="2"/>
  <c r="F3" i="2"/>
  <c r="G3" i="2"/>
  <c r="H3" i="2"/>
  <c r="I3" i="2"/>
  <c r="J3" i="2"/>
  <c r="K3" i="2"/>
  <c r="L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AQ3" i="2"/>
  <c r="AR3" i="2"/>
  <c r="AS3" i="2"/>
  <c r="AT3" i="2"/>
  <c r="AU3" i="2"/>
  <c r="AV3" i="2"/>
  <c r="AW3" i="2"/>
  <c r="AX3" i="2"/>
  <c r="AY3" i="2"/>
  <c r="AZ3" i="2"/>
  <c r="B4" i="2"/>
  <c r="C4" i="2"/>
  <c r="D4" i="2"/>
  <c r="E4" i="2"/>
  <c r="F4" i="2"/>
  <c r="G4" i="2"/>
  <c r="H4" i="2"/>
  <c r="I4" i="2"/>
  <c r="J4" i="2"/>
  <c r="K4" i="2"/>
  <c r="L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AP4" i="2"/>
  <c r="AQ4" i="2"/>
  <c r="AR4" i="2"/>
  <c r="AS4" i="2"/>
  <c r="AT4" i="2"/>
  <c r="AU4" i="2"/>
  <c r="AV4" i="2"/>
  <c r="AW4" i="2"/>
  <c r="AX4" i="2"/>
  <c r="AY4" i="2"/>
  <c r="AZ4" i="2"/>
  <c r="BA2" i="2"/>
  <c r="BA3" i="2"/>
  <c r="BA4" i="2"/>
  <c r="B2" i="1"/>
  <c r="C2" i="1"/>
  <c r="D2" i="1"/>
  <c r="E2" i="1"/>
  <c r="F2" i="1"/>
  <c r="G2" i="1"/>
  <c r="H2" i="1"/>
  <c r="I2" i="1"/>
  <c r="J2" i="1"/>
  <c r="K2" i="1"/>
  <c r="L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  <c r="AY2" i="1"/>
  <c r="AZ2" i="1"/>
  <c r="B3" i="1"/>
  <c r="C3" i="1"/>
  <c r="D3" i="1"/>
  <c r="E3" i="1"/>
  <c r="F3" i="1"/>
  <c r="G3" i="1"/>
  <c r="H3" i="1"/>
  <c r="I3" i="1"/>
  <c r="J3" i="1"/>
  <c r="K3" i="1"/>
  <c r="L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B4" i="1"/>
  <c r="C4" i="1"/>
  <c r="D4" i="1"/>
  <c r="E4" i="1"/>
  <c r="F4" i="1"/>
  <c r="G4" i="1"/>
  <c r="H4" i="1"/>
  <c r="I4" i="1"/>
  <c r="J4" i="1"/>
  <c r="K4" i="1"/>
  <c r="L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5" i="1"/>
  <c r="C5" i="1"/>
  <c r="D5" i="1"/>
  <c r="E5" i="1"/>
  <c r="F5" i="1"/>
  <c r="G5" i="1"/>
  <c r="H5" i="1"/>
  <c r="I5" i="1"/>
  <c r="J5" i="1"/>
  <c r="K5" i="1"/>
  <c r="L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6" i="1"/>
  <c r="C6" i="1"/>
  <c r="D6" i="1"/>
  <c r="E6" i="1"/>
  <c r="F6" i="1"/>
  <c r="G6" i="1"/>
  <c r="H6" i="1"/>
  <c r="I6" i="1"/>
  <c r="J6" i="1"/>
  <c r="K6" i="1"/>
  <c r="L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7" i="1"/>
  <c r="C7" i="1"/>
  <c r="D7" i="1"/>
  <c r="E7" i="1"/>
  <c r="F7" i="1"/>
  <c r="G7" i="1"/>
  <c r="H7" i="1"/>
  <c r="I7" i="1"/>
  <c r="J7" i="1"/>
  <c r="K7" i="1"/>
  <c r="L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8" i="1"/>
  <c r="C8" i="1"/>
  <c r="D8" i="1"/>
  <c r="E8" i="1"/>
  <c r="F8" i="1"/>
  <c r="G8" i="1"/>
  <c r="H8" i="1"/>
  <c r="I8" i="1"/>
  <c r="J8" i="1"/>
  <c r="K8" i="1"/>
  <c r="L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9" i="1"/>
  <c r="C9" i="1"/>
  <c r="D9" i="1"/>
  <c r="E9" i="1"/>
  <c r="F9" i="1"/>
  <c r="G9" i="1"/>
  <c r="H9" i="1"/>
  <c r="I9" i="1"/>
  <c r="J9" i="1"/>
  <c r="K9" i="1"/>
  <c r="L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10" i="1"/>
  <c r="C10" i="1"/>
  <c r="D10" i="1"/>
  <c r="E10" i="1"/>
  <c r="F10" i="1"/>
  <c r="G10" i="1"/>
  <c r="H10" i="1"/>
  <c r="I10" i="1"/>
  <c r="J10" i="1"/>
  <c r="K10" i="1"/>
  <c r="L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11" i="1"/>
  <c r="C11" i="1"/>
  <c r="D11" i="1"/>
  <c r="E11" i="1"/>
  <c r="F11" i="1"/>
  <c r="G11" i="1"/>
  <c r="H11" i="1"/>
  <c r="I11" i="1"/>
  <c r="J11" i="1"/>
  <c r="K11" i="1"/>
  <c r="L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12" i="1"/>
  <c r="C12" i="1"/>
  <c r="D12" i="1"/>
  <c r="E12" i="1"/>
  <c r="F12" i="1"/>
  <c r="G12" i="1"/>
  <c r="H12" i="1"/>
  <c r="I12" i="1"/>
  <c r="J12" i="1"/>
  <c r="K12" i="1"/>
  <c r="L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13" i="1"/>
  <c r="C13" i="1"/>
  <c r="D13" i="1"/>
  <c r="E13" i="1"/>
  <c r="F13" i="1"/>
  <c r="G13" i="1"/>
  <c r="H13" i="1"/>
  <c r="I13" i="1"/>
  <c r="J13" i="1"/>
  <c r="K13" i="1"/>
  <c r="L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14" i="1"/>
  <c r="C14" i="1"/>
  <c r="D14" i="1"/>
  <c r="E14" i="1"/>
  <c r="F14" i="1"/>
  <c r="G14" i="1"/>
  <c r="H14" i="1"/>
  <c r="I14" i="1"/>
  <c r="J14" i="1"/>
  <c r="K14" i="1"/>
  <c r="L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15" i="1"/>
  <c r="C15" i="1"/>
  <c r="D15" i="1"/>
  <c r="E15" i="1"/>
  <c r="F15" i="1"/>
  <c r="G15" i="1"/>
  <c r="H15" i="1"/>
  <c r="I15" i="1"/>
  <c r="J15" i="1"/>
  <c r="K15" i="1"/>
  <c r="L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16" i="1"/>
  <c r="C16" i="1"/>
  <c r="D16" i="1"/>
  <c r="E16" i="1"/>
  <c r="F16" i="1"/>
  <c r="G16" i="1"/>
  <c r="H16" i="1"/>
  <c r="I16" i="1"/>
  <c r="J16" i="1"/>
  <c r="K16" i="1"/>
  <c r="L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17" i="1"/>
  <c r="C17" i="1"/>
  <c r="D17" i="1"/>
  <c r="E17" i="1"/>
  <c r="F17" i="1"/>
  <c r="G17" i="1"/>
  <c r="H17" i="1"/>
  <c r="I17" i="1"/>
  <c r="J17" i="1"/>
  <c r="K17" i="1"/>
  <c r="L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18" i="1"/>
  <c r="C18" i="1"/>
  <c r="D18" i="1"/>
  <c r="E18" i="1"/>
  <c r="F18" i="1"/>
  <c r="G18" i="1"/>
  <c r="H18" i="1"/>
  <c r="I18" i="1"/>
  <c r="J18" i="1"/>
  <c r="K18" i="1"/>
  <c r="L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19" i="1"/>
  <c r="C19" i="1"/>
  <c r="D19" i="1"/>
  <c r="E19" i="1"/>
  <c r="F19" i="1"/>
  <c r="G19" i="1"/>
  <c r="H19" i="1"/>
  <c r="I19" i="1"/>
  <c r="J19" i="1"/>
  <c r="K19" i="1"/>
  <c r="L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20" i="1"/>
  <c r="C20" i="1"/>
  <c r="D20" i="1"/>
  <c r="E20" i="1"/>
  <c r="F20" i="1"/>
  <c r="G20" i="1"/>
  <c r="H20" i="1"/>
  <c r="I20" i="1"/>
  <c r="J20" i="1"/>
  <c r="K20" i="1"/>
  <c r="L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21" i="1"/>
  <c r="C21" i="1"/>
  <c r="D21" i="1"/>
  <c r="E21" i="1"/>
  <c r="F21" i="1"/>
  <c r="G21" i="1"/>
  <c r="H21" i="1"/>
  <c r="I21" i="1"/>
  <c r="J21" i="1"/>
  <c r="K21" i="1"/>
  <c r="L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22" i="1"/>
  <c r="C22" i="1"/>
  <c r="D22" i="1"/>
  <c r="E22" i="1"/>
  <c r="F22" i="1"/>
  <c r="G22" i="1"/>
  <c r="H22" i="1"/>
  <c r="I22" i="1"/>
  <c r="J22" i="1"/>
  <c r="K22" i="1"/>
  <c r="L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23" i="1"/>
  <c r="C23" i="1"/>
  <c r="D23" i="1"/>
  <c r="E23" i="1"/>
  <c r="F23" i="1"/>
  <c r="G23" i="1"/>
  <c r="H23" i="1"/>
  <c r="I23" i="1"/>
  <c r="J23" i="1"/>
  <c r="K23" i="1"/>
  <c r="L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24" i="1"/>
  <c r="C24" i="1"/>
  <c r="D24" i="1"/>
  <c r="E24" i="1"/>
  <c r="F24" i="1"/>
  <c r="G24" i="1"/>
  <c r="H24" i="1"/>
  <c r="I24" i="1"/>
  <c r="J24" i="1"/>
  <c r="K24" i="1"/>
  <c r="L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25" i="1"/>
  <c r="C25" i="1"/>
  <c r="D25" i="1"/>
  <c r="E25" i="1"/>
  <c r="F25" i="1"/>
  <c r="G25" i="1"/>
  <c r="H25" i="1"/>
  <c r="I25" i="1"/>
  <c r="J25" i="1"/>
  <c r="K25" i="1"/>
  <c r="L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26" i="1"/>
  <c r="C26" i="1"/>
  <c r="D26" i="1"/>
  <c r="E26" i="1"/>
  <c r="F26" i="1"/>
  <c r="G26" i="1"/>
  <c r="H26" i="1"/>
  <c r="I26" i="1"/>
  <c r="J26" i="1"/>
  <c r="K26" i="1"/>
  <c r="L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27" i="1"/>
  <c r="C27" i="1"/>
  <c r="D27" i="1"/>
  <c r="E27" i="1"/>
  <c r="F27" i="1"/>
  <c r="G27" i="1"/>
  <c r="H27" i="1"/>
  <c r="I27" i="1"/>
  <c r="J27" i="1"/>
  <c r="K27" i="1"/>
  <c r="L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28" i="1"/>
  <c r="C28" i="1"/>
  <c r="D28" i="1"/>
  <c r="E28" i="1"/>
  <c r="F28" i="1"/>
  <c r="G28" i="1"/>
  <c r="H28" i="1"/>
  <c r="I28" i="1"/>
  <c r="J28" i="1"/>
  <c r="K28" i="1"/>
  <c r="L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29" i="1"/>
  <c r="C29" i="1"/>
  <c r="D29" i="1"/>
  <c r="E29" i="1"/>
  <c r="F29" i="1"/>
  <c r="G29" i="1"/>
  <c r="H29" i="1"/>
  <c r="I29" i="1"/>
  <c r="J29" i="1"/>
  <c r="K29" i="1"/>
  <c r="L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30" i="1"/>
  <c r="C30" i="1"/>
  <c r="D30" i="1"/>
  <c r="E30" i="1"/>
  <c r="F30" i="1"/>
  <c r="G30" i="1"/>
  <c r="H30" i="1"/>
  <c r="I30" i="1"/>
  <c r="J30" i="1"/>
  <c r="K30" i="1"/>
  <c r="L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</calcChain>
</file>

<file path=xl/sharedStrings.xml><?xml version="1.0" encoding="utf-8"?>
<sst xmlns="http://schemas.openxmlformats.org/spreadsheetml/2006/main" count="170" uniqueCount="117">
  <si>
    <t>Asset</t>
  </si>
  <si>
    <t>Data</t>
  </si>
  <si>
    <t>Hora</t>
  </si>
  <si>
    <t>Último</t>
  </si>
  <si>
    <t>Abertura</t>
  </si>
  <si>
    <t>Máximo</t>
  </si>
  <si>
    <t>Mínimo</t>
  </si>
  <si>
    <t>Fechamento Anterior</t>
  </si>
  <si>
    <t>Strike</t>
  </si>
  <si>
    <t>Variação</t>
  </si>
  <si>
    <t>Variação(pts)</t>
  </si>
  <si>
    <t>Média</t>
  </si>
  <si>
    <t>Nome do Ativo</t>
  </si>
  <si>
    <t>Negócios</t>
  </si>
  <si>
    <t>QUL</t>
  </si>
  <si>
    <t>Quantidade</t>
  </si>
  <si>
    <t>Volume</t>
  </si>
  <si>
    <t>Of. Compra</t>
  </si>
  <si>
    <t>Of. Venda</t>
  </si>
  <si>
    <t>VOC</t>
  </si>
  <si>
    <t>VOV</t>
  </si>
  <si>
    <t>Ajuste</t>
  </si>
  <si>
    <t>Aj. Anterior</t>
  </si>
  <si>
    <t>Preço Teórico</t>
  </si>
  <si>
    <t>Qtd. Teórica</t>
  </si>
  <si>
    <t>Volume Projetado</t>
  </si>
  <si>
    <t>Semana</t>
  </si>
  <si>
    <t>Mês</t>
  </si>
  <si>
    <t>3 meses</t>
  </si>
  <si>
    <t>6 meses</t>
  </si>
  <si>
    <t>12 meses</t>
  </si>
  <si>
    <t>Ano</t>
  </si>
  <si>
    <t>Trimestre</t>
  </si>
  <si>
    <t>Semestre</t>
  </si>
  <si>
    <t>Vencimento</t>
  </si>
  <si>
    <t>Validade</t>
  </si>
  <si>
    <t>Cont. Abertos</t>
  </si>
  <si>
    <t>Estado Atual</t>
  </si>
  <si>
    <t>Black Scholes</t>
  </si>
  <si>
    <t>Volt. Implícita</t>
  </si>
  <si>
    <t>Delta</t>
  </si>
  <si>
    <t>Gama</t>
  </si>
  <si>
    <t>Theta</t>
  </si>
  <si>
    <t>Rho</t>
  </si>
  <si>
    <t>Vega</t>
  </si>
  <si>
    <t>VI Ask</t>
  </si>
  <si>
    <t>VI Bid</t>
  </si>
  <si>
    <t>Dobrar %</t>
  </si>
  <si>
    <t>VI / VH</t>
  </si>
  <si>
    <t>Valor Intrínseco</t>
  </si>
  <si>
    <t>Valor Extrínseco</t>
  </si>
  <si>
    <t>VWAP</t>
  </si>
  <si>
    <t>WDOFUT</t>
  </si>
  <si>
    <t>Dolar Mini</t>
  </si>
  <si>
    <t>WINFUT</t>
  </si>
  <si>
    <t>Ibovespa Mini</t>
  </si>
  <si>
    <t>BITFUT</t>
  </si>
  <si>
    <t>Futuro De Bitcoin</t>
  </si>
  <si>
    <t>EMBR3</t>
  </si>
  <si>
    <t>Embraer ON NM</t>
  </si>
  <si>
    <t>VIVT3</t>
  </si>
  <si>
    <t>Telef Brasil ON</t>
  </si>
  <si>
    <t>ITSA4</t>
  </si>
  <si>
    <t>Itausa PN N1</t>
  </si>
  <si>
    <t>CYRE3</t>
  </si>
  <si>
    <t>Cyrela Realt ON NM</t>
  </si>
  <si>
    <t>CSNA3</t>
  </si>
  <si>
    <t>Sid Nacional ON</t>
  </si>
  <si>
    <t>LREN3</t>
  </si>
  <si>
    <t>Lojas Renner ON NM</t>
  </si>
  <si>
    <t>CIEL3</t>
  </si>
  <si>
    <t>Cielo ON NM</t>
  </si>
  <si>
    <t>ECOR3</t>
  </si>
  <si>
    <t>Ecorodovias ON NM</t>
  </si>
  <si>
    <t>GFSA3</t>
  </si>
  <si>
    <t>Gafisa ON NM</t>
  </si>
  <si>
    <t>MRVE3</t>
  </si>
  <si>
    <t>Mrv ON NM</t>
  </si>
  <si>
    <t>BBDC4</t>
  </si>
  <si>
    <t>Bradesco PN EJ N1</t>
  </si>
  <si>
    <t>RENT3</t>
  </si>
  <si>
    <t>Localiza ON NM</t>
  </si>
  <si>
    <t>BRAP4</t>
  </si>
  <si>
    <t>Bradespar PN N1</t>
  </si>
  <si>
    <t>BBAS3</t>
  </si>
  <si>
    <t>Brasil ON NM</t>
  </si>
  <si>
    <t>VALE3</t>
  </si>
  <si>
    <t>Vale ON NM</t>
  </si>
  <si>
    <t>MGLU3</t>
  </si>
  <si>
    <t>Magaz Luiza ON NM</t>
  </si>
  <si>
    <t>ITUB4</t>
  </si>
  <si>
    <t>Itauunibanco PN EJ N1</t>
  </si>
  <si>
    <t>SUZB3</t>
  </si>
  <si>
    <t>Suzano S.A. ON NM</t>
  </si>
  <si>
    <t>CMIG4</t>
  </si>
  <si>
    <t>Cemig PN N1</t>
  </si>
  <si>
    <t>BRFS3</t>
  </si>
  <si>
    <t>Brf Sa ON NM</t>
  </si>
  <si>
    <t>PETR4</t>
  </si>
  <si>
    <t>Petrobras PN N2</t>
  </si>
  <si>
    <t>IBOV</t>
  </si>
  <si>
    <t>Ibovespa</t>
  </si>
  <si>
    <t>USIM5</t>
  </si>
  <si>
    <t>Usiminas PNA N1</t>
  </si>
  <si>
    <t>INDFUT</t>
  </si>
  <si>
    <t>Indice Bovespa</t>
  </si>
  <si>
    <t>GGBR4</t>
  </si>
  <si>
    <t>Gerdau PN N1</t>
  </si>
  <si>
    <t>ABEV3</t>
  </si>
  <si>
    <t>Ambev S/A ON</t>
  </si>
  <si>
    <t>GOAU4</t>
  </si>
  <si>
    <t>Gerdau Met PN N1</t>
  </si>
  <si>
    <t>B3SA3</t>
  </si>
  <si>
    <t>B3 ON NM</t>
  </si>
  <si>
    <t>PETR3</t>
  </si>
  <si>
    <t>Petrobras ON N2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</si>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</sst>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tdtrading.rtdserver">
      <tp t="b">
        <v>0</v>
        <stp/>
        <stp>BITFUT_F_0</stp>
        <stp>BLACK</stp>
        <tr r="AM4" s="2"/>
      </tp>
      <tp t="b">
        <v>0</v>
        <stp/>
        <stp>WDOFUT_F_0</stp>
        <stp>DELTA</stp>
        <tr r="AO2" s="2"/>
      </tp>
      <tp t="b">
        <v>0</v>
        <stp/>
        <stp>WINFUT_F_0</stp>
        <stp>BLACK</stp>
        <tr r="AM3" s="2"/>
      </tp>
      <tp t="b">
        <v>0</v>
        <stp/>
        <stp>WDOFUT_F_0</stp>
        <stp>SEMES</stp>
        <tr r="AH2" s="2"/>
      </tp>
      <tp t="b">
        <v>0</v>
        <stp/>
        <stp>B3SA3_B_0</stp>
        <stp>3M</stp>
        <tr r="AC29" s="1"/>
      </tp>
      <tp t="b">
        <v>0</v>
        <stp/>
        <stp>B3SA3_B_0</stp>
        <stp>6M</stp>
        <tr r="AD29" s="1"/>
      </tp>
      <tp t="b">
        <v>0</v>
        <stp/>
        <stp>B3SA3_B_0</stp>
        <stp>67</stp>
        <tr r="AZ29" s="1"/>
      </tp>
      <tp t="b">
        <v>0</v>
        <stp/>
        <stp>INDFUT_F_0</stp>
        <stp>THETA</stp>
        <tr r="AQ25" s="1"/>
      </tp>
      <tp t="b">
        <v>0</v>
        <stp/>
        <stp>WINFUT_F_0</stp>
        <stp>THETA</stp>
        <tr r="AQ3" s="2"/>
      </tp>
      <tp t="b">
        <v>0</v>
        <stp/>
        <stp>BITFUT_F_0</stp>
        <stp>THETA</stp>
        <tr r="AQ4" s="2"/>
      </tp>
      <tp t="b">
        <v>0</v>
        <stp/>
        <stp>INDFUT_F_0</stp>
        <stp>BLACK</stp>
        <tr r="AM25" s="1"/>
      </tp>
      <tp t="b">
        <v>0</v>
        <stp/>
        <stp>WDOFUT_F_0</stp>
        <stp>THETA</stp>
        <tr r="AQ2" s="2"/>
      </tp>
      <tp t="b">
        <v>0</v>
        <stp/>
        <stp>INDFUT_F_0</stp>
        <stp>DELTA</stp>
        <tr r="AO25" s="1"/>
      </tp>
      <tp t="b">
        <v>0</v>
        <stp/>
        <stp>INDFUT_F_0</stp>
        <stp>SEMES</stp>
        <tr r="AH25" s="1"/>
      </tp>
      <tp t="b">
        <v>0</v>
        <stp/>
        <stp>BITFUT_F_0</stp>
        <stp>SEMES</stp>
        <tr r="AH4" s="2"/>
      </tp>
      <tp t="b">
        <v>0</v>
        <stp/>
        <stp>WINFUT_F_0</stp>
        <stp>SEMES</stp>
        <tr r="AH3" s="2"/>
      </tp>
      <tp t="b">
        <v>0</v>
        <stp/>
        <stp>WINFUT_F_0</stp>
        <stp>DELTA</stp>
        <tr r="AO3" s="2"/>
      </tp>
      <tp t="b">
        <v>0</v>
        <stp/>
        <stp>BITFUT_F_0</stp>
        <stp>DELTA</stp>
        <tr r="AO4" s="2"/>
      </tp>
      <tp t="b">
        <v>0</v>
        <stp/>
        <stp>WDOFUT_F_0</stp>
        <stp>BLACK</stp>
        <tr r="AM2" s="2"/>
      </tp>
      <tp t="b">
        <v>0</v>
        <stp/>
        <stp>WINFUT_F_0</stp>
        <stp>IMPVT</stp>
        <tr r="AN3" s="2"/>
      </tp>
      <tp t="b">
        <v>0</v>
        <stp/>
        <stp>BITFUT_F_0</stp>
        <stp>IMPVT</stp>
        <tr r="AN4" s="2"/>
      </tp>
      <tp t="b">
        <v>0</v>
        <stp/>
        <stp>INDFUT_F_0</stp>
        <stp>IMPVT</stp>
        <tr r="AN25" s="1"/>
      </tp>
      <tp t="b">
        <v>0</v>
        <stp/>
        <stp>WDOFUT_F_0</stp>
        <stp>IMPVT</stp>
        <tr r="AN2" s="2"/>
      </tp>
      <tp t="b">
        <v>0</v>
        <stp/>
        <stp>WINFUT_F_0</stp>
        <stp>VEGA</stp>
        <tr r="AS3" s="2"/>
      </tp>
      <tp t="b">
        <v>0</v>
        <stp/>
        <stp>WDOFUT_F_0</stp>
        <stp>VEGA</stp>
        <tr r="AS2" s="2"/>
      </tp>
      <tp t="b">
        <v>0</v>
        <stp/>
        <stp>WDOFUT_F_0</stp>
        <stp>VEXT</stp>
        <tr r="AY2" s="2"/>
      </tp>
      <tp t="b">
        <v>0</v>
        <stp/>
        <stp>WINFUT_F_0</stp>
        <stp>VEXT</stp>
        <tr r="AY3" s="2"/>
      </tp>
      <tp t="b">
        <v>0</v>
        <stp/>
        <stp>BBAS3_B_0</stp>
        <stp>VEXT</stp>
        <tr r="AY15" s="1"/>
      </tp>
      <tp t="b">
        <v>0</v>
        <stp/>
        <stp>BRFS3_B_0</stp>
        <stp>VEXT</stp>
        <tr r="AY21" s="1"/>
      </tp>
      <tp t="b">
        <v>0</v>
        <stp/>
        <stp>ABEV3_B_0</stp>
        <stp>OCP</stp>
        <tr r="R27" s="1"/>
      </tp>
      <tp t="b">
        <v>0</v>
        <stp/>
        <stp>RENT3_B_0</stp>
        <stp>DAT</stp>
        <tr r="B13" s="1"/>
      </tp>
      <tp t="b">
        <v>0</v>
        <stp/>
        <stp>MGLU3_B_0</stp>
        <stp>FEC</stp>
        <tr r="H17" s="1"/>
      </tp>
      <tp t="b">
        <v>0</v>
        <stp/>
        <stp>SUZB3_B_0</stp>
        <stp>PRT</stp>
        <tr r="X19" s="1"/>
      </tp>
      <tp t="b">
        <v>0</v>
        <stp/>
        <stp>PETR4_B_0</stp>
        <stp>DELTA</stp>
        <tr r="AO22" s="1"/>
      </tp>
      <tp t="b">
        <v>0</v>
        <stp/>
        <stp>GGBR4_B_0</stp>
        <stp>HOR</stp>
        <tr r="C26" s="1"/>
      </tp>
      <tp t="b">
        <v>0</v>
        <stp/>
        <stp>EMBR3_B_0</stp>
        <stp>HOR</stp>
        <tr r="C2" s="1"/>
      </tp>
      <tp t="b">
        <v>0</v>
        <stp/>
        <stp>CIEL3_B_0</stp>
        <stp>OVD</stp>
        <tr r="S8" s="1"/>
      </tp>
      <tp t="b">
        <v>0</v>
        <stp/>
        <stp>LREN3_B_0</stp>
        <stp>OVD</stp>
        <tr r="S7" s="1"/>
      </tp>
      <tp t="b">
        <v>0</v>
        <stp/>
        <stp>BBDC4_B_0</stp>
        <stp>NEG</stp>
        <tr r="N12" s="1"/>
      </tp>
      <tp t="b">
        <v>0</v>
        <stp/>
        <stp>CMIG4_B_0</stp>
        <stp>CAB</stp>
        <tr r="AK20" s="1"/>
      </tp>
      <tp t="b">
        <v>0</v>
        <stp/>
        <stp>SUZB3_B_0</stp>
        <stp>PEX</stp>
        <tr r="I19" s="1"/>
      </tp>
      <tp t="b">
        <v>0</v>
        <stp/>
        <stp>VALE3_B_0</stp>
        <stp>SEMES</stp>
        <tr r="AH16" s="1"/>
      </tp>
      <tp t="b">
        <v>0</v>
        <stp/>
        <stp>CSNA3_B_0</stp>
        <stp>DAT</stp>
        <tr r="B6" s="1"/>
      </tp>
      <tp t="b">
        <v>0</v>
        <stp/>
        <stp>VALE3_B_0</stp>
        <stp>FEC</stp>
        <tr r="H16" s="1"/>
      </tp>
      <tp t="b">
        <v>0</v>
        <stp/>
        <stp>ABEV3_B_0</stp>
        <stp>OVD</stp>
        <tr r="S27" s="1"/>
      </tp>
      <tp t="b">
        <v>0</v>
        <stp/>
        <stp>ECOR3_B_0</stp>
        <stp>EST</stp>
        <tr r="AL9" s="1"/>
      </tp>
      <tp t="b">
        <v>0</v>
        <stp/>
        <stp>CIEL3_B_0</stp>
        <stp>OCP</stp>
        <tr r="R8" s="1"/>
      </tp>
      <tp t="b">
        <v>0</v>
        <stp/>
        <stp>USIM5_B_0</stp>
        <stp>CAB</stp>
        <tr r="AK24" s="1"/>
      </tp>
      <tp t="b">
        <v>0</v>
        <stp/>
        <stp>VIVT3_B_0</stp>
        <stp>SEMES</stp>
        <tr r="AH3" s="1"/>
      </tp>
      <tp t="b">
        <v>0</v>
        <stp/>
        <stp>LREN3_B_0</stp>
        <stp>OCP</stp>
        <tr r="R7" s="1"/>
      </tp>
      <tp t="b">
        <v>0</v>
        <stp/>
        <stp>BRFS3_B_0</stp>
        <stp>VEGA</stp>
        <tr r="AS21" s="1"/>
      </tp>
      <tp t="b">
        <v>0</v>
        <stp/>
        <stp>BBAS3_B_0</stp>
        <stp>VEGA</stp>
        <tr r="AS15" s="1"/>
      </tp>
      <tp t="b">
        <v>0</v>
        <stp/>
        <stp>MGLU3_B_0</stp>
        <stp>DOBRAR</stp>
        <tr r="AV17" s="1"/>
      </tp>
      <tp t="b">
        <v>0</v>
        <stp/>
        <stp>RENT3_B_0</stp>
        <stp>VARPTS</stp>
        <tr r="K13" s="1"/>
      </tp>
      <tp t="b">
        <v>0</v>
        <stp/>
        <stp>GGBR4_B_0</stp>
        <stp>DOBRAR</stp>
        <tr r="AV26" s="1"/>
      </tp>
      <tp t="b">
        <v>0</v>
        <stp/>
        <stp>PETR3_B_0</stp>
        <stp>VARPTS</stp>
        <tr r="K30" s="1"/>
      </tp>
      <tp t="b">
        <v>0</v>
        <stp/>
        <stp>PETR4_B_0</stp>
        <stp>VARPTS</stp>
        <tr r="K22" s="1"/>
      </tp>
      <tp t="b">
        <v>0</v>
        <stp/>
        <stp>BRFS3_B_0</stp>
        <stp>MES</stp>
        <tr r="AB21" s="1"/>
      </tp>
      <tp t="b">
        <v>0</v>
        <stp/>
        <stp>SUZB3_B_0</stp>
        <stp>QTE</stp>
        <tr r="Y19" s="1"/>
      </tp>
      <tp t="b">
        <v>0</v>
        <stp/>
        <stp>SUZB3_B_0</stp>
        <stp>QTT</stp>
        <tr r="P19" s="1"/>
      </tp>
      <tp t="b">
        <v>0</v>
        <stp/>
        <stp>BRFS3_B_0</stp>
        <stp>MED</stp>
        <tr r="L21" s="1"/>
      </tp>
      <tp t="b">
        <v>0</v>
        <stp/>
        <stp>SUZB3_B_0</stp>
        <stp>QUL</stp>
        <tr r="O19" s="1"/>
      </tp>
      <tp t="b">
        <v>0</v>
        <stp/>
        <stp>GGBR4_B_0</stp>
        <stp>VEXT</stp>
        <tr r="AY26" s="1"/>
      </tp>
      <tp t="b">
        <v>0</v>
        <stp/>
        <stp>BBDC4_B_0</stp>
        <stp>OVD</stp>
        <tr r="S12" s="1"/>
      </tp>
      <tp t="b">
        <v>0</v>
        <stp/>
        <stp>VALE3_B_0</stp>
        <stp>DELTA</stp>
        <tr r="AO16" s="1"/>
      </tp>
      <tp t="b">
        <v>0</v>
        <stp/>
        <stp>BRFS3_B_0</stp>
        <stp>MAX</stp>
        <tr r="F21" s="1"/>
      </tp>
      <tp t="b">
        <v>0</v>
        <stp/>
        <stp>CSNA3_B_0</stp>
        <stp>EST</stp>
        <tr r="AL6" s="1"/>
      </tp>
      <tp t="b">
        <v>0</v>
        <stp/>
        <stp>VALE3_B_0</stp>
        <stp>TRIM</stp>
        <tr r="AG16" s="1"/>
      </tp>
      <tp t="b">
        <v>0</v>
        <stp/>
        <stp>ECOR3_B_0</stp>
        <stp>DAT</stp>
        <tr r="B9" s="1"/>
      </tp>
      <tp t="b">
        <v>0</v>
        <stp/>
        <stp>ABEV3_B_0</stp>
        <stp>NEG</stp>
        <tr r="N27" s="1"/>
      </tp>
      <tp t="b">
        <v>0</v>
        <stp/>
        <stp>ECOR3_B_0</stp>
        <stp>VEXT</stp>
        <tr r="AY9" s="1"/>
      </tp>
      <tp t="b">
        <v>0</v>
        <stp/>
        <stp>EMBR3_B_0</stp>
        <stp>VEXT</stp>
        <tr r="AY2" s="1"/>
      </tp>
      <tp t="b">
        <v>0</v>
        <stp/>
        <stp>PETR4_B_0</stp>
        <stp>VEGA</stp>
        <tr r="AS22" s="1"/>
      </tp>
      <tp t="b">
        <v>0</v>
        <stp/>
        <stp>VIVT3_B_0</stp>
        <stp>DELTA</stp>
        <tr r="AO3" s="1"/>
      </tp>
      <tp t="b">
        <v>0</v>
        <stp/>
        <stp>PETR3_B_0</stp>
        <stp>VEGA</stp>
        <tr r="AS30" s="1"/>
      </tp>
      <tp t="b">
        <v>0</v>
        <stp/>
        <stp>BRFS3_B_0</stp>
        <stp>MIN</stp>
        <tr r="G21" s="1"/>
      </tp>
      <tp t="b">
        <v>0</v>
        <stp/>
        <stp>CYRE3_B_0</stp>
        <stp>TRIM</stp>
        <tr r="AG5" s="1"/>
      </tp>
      <tp t="b">
        <v>0</v>
        <stp/>
        <stp>RENT3_B_0</stp>
        <stp>EST</stp>
        <tr r="AL13" s="1"/>
      </tp>
      <tp t="b">
        <v>0</v>
        <stp/>
        <stp>IBOV_B_0</stp>
        <stp>MIN</stp>
        <tr r="G23" s="1"/>
      </tp>
      <tp t="b">
        <v>0</v>
        <stp/>
        <stp>PETR3_B_0</stp>
        <stp>VEXT</stp>
        <tr r="AY30" s="1"/>
      </tp>
      <tp t="b">
        <v>0</v>
        <stp/>
        <stp>PETR4_B_0</stp>
        <stp>VEXT</stp>
        <tr r="AY22" s="1"/>
      </tp>
      <tp t="b">
        <v>0</v>
        <stp/>
        <stp>BBDC4_B_0</stp>
        <stp>OCP</stp>
        <tr r="R12" s="1"/>
      </tp>
      <tp t="b">
        <v>0</v>
        <stp/>
        <stp>PETR4_B_0</stp>
        <stp>SEMES</stp>
        <tr r="AH22" s="1"/>
      </tp>
      <tp t="b">
        <v>0</v>
        <stp/>
        <stp>ABEV3_B_0</stp>
        <stp>GAMA</stp>
        <tr r="AP27" s="1"/>
      </tp>
      <tp t="b">
        <v>0</v>
        <stp/>
        <stp>ECOR3_B_0</stp>
        <stp>VEGA</stp>
        <tr r="AS9" s="1"/>
      </tp>
      <tp t="b">
        <v>0</v>
        <stp/>
        <stp>EMBR3_B_0</stp>
        <stp>VEGA</stp>
        <tr r="AS2" s="1"/>
      </tp>
      <tp t="b">
        <v>0</v>
        <stp/>
        <stp>IBOV_B_0</stp>
        <stp>MAX</stp>
        <tr r="F23" s="1"/>
      </tp>
      <tp t="b">
        <v>0</v>
        <stp/>
        <stp>GGBR4_B_0</stp>
        <stp>VEGA</stp>
        <tr r="AS26" s="1"/>
      </tp>
      <tp t="b">
        <v>0</v>
        <stp/>
        <stp>LREN3_B_0</stp>
        <stp>NEG</stp>
        <tr r="N7" s="1"/>
      </tp>
      <tp t="b">
        <v>0</v>
        <stp/>
        <stp>IBOV_B_0</stp>
        <stp>MED</stp>
        <tr r="L23" s="1"/>
      </tp>
      <tp t="b">
        <v>0</v>
        <stp/>
        <stp>IBOV_B_0</stp>
        <stp>MES</stp>
        <tr r="AB23" s="1"/>
      </tp>
      <tp t="b">
        <v>0</v>
        <stp/>
        <stp>MRVE3_B_0</stp>
        <stp>TRIM</stp>
        <tr r="AG11" s="1"/>
      </tp>
      <tp t="b">
        <v>0</v>
        <stp/>
        <stp>CIEL3_B_0</stp>
        <stp>NEG</stp>
        <tr r="N8" s="1"/>
      </tp>
      <tp t="b">
        <v>0</v>
        <stp/>
        <stp>GFSA3_B_0</stp>
        <stp>DOBRAR</stp>
        <tr r="AV10" s="1"/>
      </tp>
      <tp t="b">
        <v>0</v>
        <stp/>
        <stp>BITFUT_F_0</stp>
        <stp>TRIM</stp>
        <tr r="AG4" s="2"/>
      </tp>
      <tp t="b">
        <v>0</v>
        <stp/>
        <stp>BRFS3_B_0</stp>
        <stp>NEG</stp>
        <tr r="N21" s="1"/>
      </tp>
      <tp t="b">
        <v>0</v>
        <stp/>
        <stp>ABEV3_B_0</stp>
        <stp>MAX</stp>
        <tr r="F27" s="1"/>
      </tp>
      <tp t="b">
        <v>0</v>
        <stp/>
        <stp>MGLU3_B_0</stp>
        <stp>DAT</stp>
        <tr r="B17" s="1"/>
      </tp>
      <tp t="b">
        <v>0</v>
        <stp/>
        <stp>ABEV3_B_0</stp>
        <stp>MES</stp>
        <tr r="AB27" s="1"/>
      </tp>
      <tp t="b">
        <v>0</v>
        <stp/>
        <stp>ABEV3_B_0</stp>
        <stp>MED</stp>
        <tr r="L27" s="1"/>
      </tp>
      <tp t="b">
        <v>0</v>
        <stp/>
        <stp>RENT3_B_0</stp>
        <stp>FEC</stp>
        <tr r="H13" s="1"/>
      </tp>
      <tp t="b">
        <v>0</v>
        <stp/>
        <stp>ABEV3_B_0</stp>
        <stp>MIN</stp>
        <tr r="G27" s="1"/>
      </tp>
      <tp t="b">
        <v>0</v>
        <stp/>
        <stp>WINFUT_F_0</stp>
        <stp>HOR</stp>
        <tr r="C3" s="2"/>
      </tp>
      <tp t="b">
        <v>0</v>
        <stp/>
        <stp>WDOFUT_F_0</stp>
        <stp>HOR</stp>
        <tr r="C2" s="2"/>
      </tp>
      <tp t="b">
        <v>0</v>
        <stp/>
        <stp>USIM5_B_0</stp>
        <stp>AJA</stp>
        <tr r="W24" s="1"/>
      </tp>
      <tp t="b">
        <v>0</v>
        <stp/>
        <stp>LREN3_B_0</stp>
        <stp>MIN</stp>
        <tr r="G7" s="1"/>
      </tp>
      <tp t="b">
        <v>0</v>
        <stp/>
        <stp>USIM5_B_0</stp>
        <stp>AJU</stp>
        <tr r="V24" s="1"/>
      </tp>
      <tp t="b">
        <v>0</v>
        <stp/>
        <stp>VALE3_B_0</stp>
        <stp>DAT</stp>
        <tr r="B16" s="1"/>
      </tp>
      <tp t="b">
        <v>0</v>
        <stp/>
        <stp>CSNA3_B_0</stp>
        <stp>FEC</stp>
        <tr r="H6" s="1"/>
      </tp>
      <tp t="b">
        <v>0</v>
        <stp/>
        <stp>CIEL3_B_0</stp>
        <stp>MIN</stp>
        <tr r="G8" s="1"/>
      </tp>
      <tp t="b">
        <v>0</v>
        <stp/>
        <stp>CMIG4_B_0</stp>
        <stp>ABE</stp>
        <tr r="E20" s="1"/>
      </tp>
      <tp t="b">
        <v>0</v>
        <stp/>
        <stp>INDFUT_F_0</stp>
        <stp>HOR</stp>
        <tr r="C25" s="1"/>
      </tp>
      <tp t="b">
        <v>0</v>
        <stp/>
        <stp>USIM5_B_0</stp>
        <stp>ANO</stp>
        <tr r="AF24" s="1"/>
      </tp>
      <tp t="b">
        <v>0</v>
        <stp/>
        <stp>GOAU4_B_0</stp>
        <stp>GAMA</stp>
        <tr r="AP28" s="1"/>
      </tp>
      <tp t="b">
        <v>0</v>
        <stp/>
        <stp>USIM5_B_0</stp>
        <stp>ABE</stp>
        <tr r="E24" s="1"/>
      </tp>
      <tp t="b">
        <v>0</v>
        <stp/>
        <stp>LREN3_B_0</stp>
        <stp>MAX</stp>
        <tr r="F7" s="1"/>
      </tp>
      <tp t="b">
        <v>0</v>
        <stp/>
        <stp>CIEL3_B_0</stp>
        <stp>MAX</stp>
        <tr r="F8" s="1"/>
      </tp>
      <tp t="b">
        <v>0</v>
        <stp/>
        <stp>CMIG4_B_0</stp>
        <stp>AJU</stp>
        <tr r="V20" s="1"/>
      </tp>
      <tp t="b">
        <v>0</v>
        <stp/>
        <stp>MGLU3_B_0</stp>
        <stp>GAMA</stp>
        <tr r="AP17" s="1"/>
      </tp>
      <tp t="b">
        <v>0</v>
        <stp/>
        <stp>CMIG4_B_0</stp>
        <stp>AJA</stp>
        <tr r="W20" s="1"/>
      </tp>
      <tp t="b">
        <v>0</v>
        <stp/>
        <stp>SUZB3_B_0</stp>
        <stp>RHO</stp>
        <tr r="AR19" s="1"/>
      </tp>
      <tp t="b">
        <v>0</v>
        <stp/>
        <stp>LREN3_B_0</stp>
        <stp>MES</stp>
        <tr r="AB7" s="1"/>
      </tp>
      <tp t="b">
        <v>0</v>
        <stp/>
        <stp>LREN3_B_0</stp>
        <stp>MED</stp>
        <tr r="L7" s="1"/>
      </tp>
      <tp t="b">
        <v>0</v>
        <stp/>
        <stp>IBOV_B_0</stp>
        <stp>NEG</stp>
        <tr r="N23" s="1"/>
      </tp>
      <tp t="b">
        <v>0</v>
        <stp/>
        <stp>BITFUT_F_0</stp>
        <stp>HOR</stp>
        <tr r="C4" s="2"/>
      </tp>
      <tp t="b">
        <v>0</v>
        <stp/>
        <stp>CIEL3_B_0</stp>
        <stp>MES</stp>
        <tr r="AB8" s="1"/>
      </tp>
      <tp t="b">
        <v>0</v>
        <stp/>
        <stp>CMIG4_B_0</stp>
        <stp>ANO</stp>
        <tr r="AF20" s="1"/>
      </tp>
      <tp t="b">
        <v>0</v>
        <stp/>
        <stp>CIEL3_B_0</stp>
        <stp>MED</stp>
        <tr r="L8" s="1"/>
      </tp>
      <tp t="b">
        <v>0</v>
        <stp/>
        <stp>RENT3_B_0</stp>
        <stp>DOBRAR</stp>
        <tr r="AV13" s="1"/>
      </tp>
      <tp t="b">
        <v>0</v>
        <stp/>
        <stp>MGLU3_B_0</stp>
        <stp>VARPTS</stp>
        <tr r="K17" s="1"/>
      </tp>
      <tp t="b">
        <v>0</v>
        <stp/>
        <stp>GGBR4_B_0</stp>
        <stp>VARPTS</stp>
        <tr r="K26" s="1"/>
      </tp>
      <tp t="b">
        <v>0</v>
        <stp/>
        <stp>PETR3_B_0</stp>
        <stp>DOBRAR</stp>
        <tr r="AV30" s="1"/>
      </tp>
      <tp t="b">
        <v>0</v>
        <stp/>
        <stp>PETR4_B_0</stp>
        <stp>DOBRAR</stp>
        <tr r="AV22" s="1"/>
      </tp>
      <tp t="b">
        <v>0</v>
        <stp/>
        <stp>VALE3_B_0</stp>
        <stp>EST</stp>
        <tr r="AL16" s="1"/>
      </tp>
      <tp t="b">
        <v>0</v>
        <stp/>
        <stp>VIVT3_B_0</stp>
        <stp>GAMA</stp>
        <tr r="AP3" s="1"/>
      </tp>
      <tp t="b">
        <v>0</v>
        <stp/>
        <stp>ECOR3_B_0</stp>
        <stp>FEC</stp>
        <tr r="H9" s="1"/>
      </tp>
      <tp t="b">
        <v>0</v>
        <stp/>
        <stp>RENT3_B_0</stp>
        <stp>GAMA</stp>
        <tr r="AP13" s="1"/>
      </tp>
      <tp t="b">
        <v>0</v>
        <stp/>
        <stp>BRFS3_B_0</stp>
        <stp>OCP</stp>
        <tr r="R21" s="1"/>
      </tp>
      <tp t="b">
        <v>0</v>
        <stp/>
        <stp>BRAP4_B_0</stp>
        <stp>VEXT</stp>
        <tr r="AY14" s="1"/>
      </tp>
      <tp t="b">
        <v>0</v>
        <stp/>
        <stp>BRAP4_B_0</stp>
        <stp>HOR</stp>
        <tr r="C14" s="1"/>
      </tp>
      <tp t="b">
        <v>0</v>
        <stp/>
        <stp>BBAS3_B_0</stp>
        <stp>HOR</stp>
        <tr r="C15" s="1"/>
      </tp>
      <tp t="b">
        <v>0</v>
        <stp/>
        <stp>GOAU4_B_0</stp>
        <stp>HOR</stp>
        <tr r="C28" s="1"/>
      </tp>
      <tp t="b">
        <v>0</v>
        <stp/>
        <stp>IBOV_B_0</stp>
        <stp>OVD</stp>
        <tr r="S23" s="1"/>
      </tp>
      <tp t="b">
        <v>0</v>
        <stp/>
        <stp>MGLU3_B_0</stp>
        <stp>EST</stp>
        <tr r="AL17" s="1"/>
      </tp>
      <tp t="b">
        <v>0</v>
        <stp/>
        <stp>BBDC4_B_0</stp>
        <stp>MES</stp>
        <tr r="AB12" s="1"/>
      </tp>
      <tp t="b">
        <v>0</v>
        <stp/>
        <stp>BBDC4_B_0</stp>
        <stp>MED</stp>
        <tr r="L12" s="1"/>
      </tp>
      <tp t="b">
        <v>0</v>
        <stp/>
        <stp>SUZB3_B_0</stp>
        <stp>SEM</stp>
        <tr r="AA19" s="1"/>
      </tp>
      <tp t="b">
        <v>0</v>
        <stp/>
        <stp>BRFS3_B_0</stp>
        <stp>OVD</stp>
        <tr r="S21" s="1"/>
      </tp>
      <tp t="b">
        <v>0</v>
        <stp/>
        <stp>BBDC4_B_0</stp>
        <stp>MAX</stp>
        <tr r="F12" s="1"/>
      </tp>
      <tp t="b">
        <v>0</v>
        <stp/>
        <stp>CMIG4_B_0</stp>
        <stp>TRIM</stp>
        <tr r="AG20" s="1"/>
      </tp>
      <tp t="b">
        <v>0</v>
        <stp/>
        <stp>BRAP4_B_0</stp>
        <stp>VEGA</stp>
        <tr r="AS14" s="1"/>
      </tp>
      <tp t="b">
        <v>0</v>
        <stp/>
        <stp>IBOV_B_0</stp>
        <stp>OCP</stp>
        <tr r="R23" s="1"/>
      </tp>
      <tp t="b">
        <v>0</v>
        <stp/>
        <stp>BBDC4_B_0</stp>
        <stp>MIN</stp>
        <tr r="G12" s="1"/>
      </tp>
      <tp t="b">
        <v>0</v>
        <stp/>
        <stp>GFSA3_B_0</stp>
        <stp>VARPTS</stp>
        <tr r="K10" s="1"/>
      </tp>
      <tp t="b">
        <v>0</v>
        <stp/>
        <stp>WDOFUT_F_0</stp>
        <stp>GAMA</stp>
        <tr r="AP2" s="2"/>
      </tp>
      <tp t="b">
        <v>0</v>
        <stp/>
        <stp>WINFUT_F_0</stp>
        <stp>GAMA</stp>
        <tr r="AP3" s="2"/>
      </tp>
      <tp t="b">
        <v>0</v>
        <stp/>
        <stp>WINFUT_F_0</stp>
        <stp>NEG</stp>
        <tr r="N3" s="2"/>
      </tp>
      <tp t="b">
        <v>0</v>
        <stp/>
        <stp>WDOFUT_F_0</stp>
        <stp>NEG</stp>
        <tr r="N2" s="2"/>
      </tp>
      <tp t="b">
        <v>0</v>
        <stp/>
        <stp>GOAU4_B_0</stp>
        <stp>OCP</stp>
        <tr r="R28" s="1"/>
      </tp>
      <tp t="b">
        <v>0</v>
        <stp/>
        <stp>BRAP4_B_0</stp>
        <stp>OCP</stp>
        <tr r="R14" s="1"/>
      </tp>
      <tp t="b">
        <v>0</v>
        <stp/>
        <stp>BBAS3_B_0</stp>
        <stp>OCP</stp>
        <tr r="R15" s="1"/>
      </tp>
      <tp t="b">
        <v>0</v>
        <stp/>
        <stp>ECOR3_B_0</stp>
        <stp>ABE</stp>
        <tr r="E9" s="1"/>
      </tp>
      <tp t="b">
        <v>0</v>
        <stp/>
        <stp>BRFS3_B_0</stp>
        <stp>HOR</stp>
        <tr r="C21" s="1"/>
      </tp>
      <tp t="b">
        <v>0</v>
        <stp/>
        <stp>ECOR3_B_0</stp>
        <stp>ANO</stp>
        <tr r="AF9" s="1"/>
      </tp>
      <tp t="b">
        <v>0</v>
        <stp/>
        <stp>ECOR3_B_0</stp>
        <stp>AJU</stp>
        <tr r="V9" s="1"/>
      </tp>
      <tp t="b">
        <v>0</v>
        <stp/>
        <stp>ECOR3_B_0</stp>
        <stp>AJA</stp>
        <tr r="W9" s="1"/>
      </tp>
      <tp t="b">
        <v>0</v>
        <stp/>
        <stp>BRAP4_B_0</stp>
        <stp>OVD</stp>
        <tr r="S14" s="1"/>
      </tp>
      <tp t="b">
        <v>0</v>
        <stp/>
        <stp>USIM5_B_0</stp>
        <stp>DELTA</stp>
        <tr r="AO24" s="1"/>
      </tp>
      <tp t="b">
        <v>0</v>
        <stp/>
        <stp>BBAS3_B_0</stp>
        <stp>OVD</stp>
        <tr r="S15" s="1"/>
      </tp>
      <tp t="b">
        <v>0</v>
        <stp/>
        <stp>BRFS3_B_0</stp>
        <stp>GAMA</stp>
        <tr r="AP21" s="1"/>
      </tp>
      <tp t="b">
        <v>0</v>
        <stp/>
        <stp>BBAS3_B_0</stp>
        <stp>GAMA</stp>
        <tr r="AP15" s="1"/>
      </tp>
      <tp t="b">
        <v>0</v>
        <stp/>
        <stp>BITFUT_F_0</stp>
        <stp>NEG</stp>
        <tr r="N4" s="2"/>
      </tp>
      <tp t="b">
        <v>0</v>
        <stp/>
        <stp>GOAU4_B_0</stp>
        <stp>OVD</stp>
        <tr r="S28" s="1"/>
      </tp>
      <tp t="b">
        <v>0</v>
        <stp/>
        <stp>RENT3_B_0</stp>
        <stp>SEMES</stp>
        <tr r="AH13" s="1"/>
      </tp>
      <tp t="b">
        <v>0</v>
        <stp/>
        <stp>IBOV_B_0</stp>
        <stp>HOR</stp>
        <tr r="C23" s="1"/>
      </tp>
      <tp t="b">
        <v>0</v>
        <stp/>
        <stp>SUZB3_B_0</stp>
        <stp>DELTA</stp>
        <tr r="AO19" s="1"/>
      </tp>
      <tp t="b">
        <v>0</v>
        <stp/>
        <stp>INDFUT_F_0</stp>
        <stp>NEG</stp>
        <tr r="N25" s="1"/>
      </tp>
      <tp t="b">
        <v>0</v>
        <stp/>
        <stp>ECOR3_B_0</stp>
        <stp>DOBRAR</stp>
        <tr r="AV9" s="1"/>
      </tp>
      <tp t="b">
        <v>0</v>
        <stp/>
        <stp>VALE3_B_0</stp>
        <stp>VARPTS</stp>
        <tr r="K16" s="1"/>
      </tp>
      <tp t="b">
        <v>0</v>
        <stp/>
        <stp>RENT3_B_0</stp>
        <stp>ABE</stp>
        <tr r="E13" s="1"/>
      </tp>
      <tp t="b">
        <v>0</v>
        <stp/>
        <stp>BBAS3_B_0</stp>
        <stp>NEG</stp>
        <tr r="N15" s="1"/>
      </tp>
      <tp t="b">
        <v>0</v>
        <stp/>
        <stp>USIM5_B_0</stp>
        <stp>SEMES</stp>
        <tr r="AH24" s="1"/>
      </tp>
      <tp t="b">
        <v>0</v>
        <stp/>
        <stp>GGBR4_B_0</stp>
        <stp>MES</stp>
        <tr r="AB26" s="1"/>
      </tp>
      <tp t="b">
        <v>0</v>
        <stp/>
        <stp>EMBR3_B_0</stp>
        <stp>MES</stp>
        <tr r="AB2" s="1"/>
      </tp>
      <tp t="b">
        <v>0</v>
        <stp/>
        <stp>PETR4_B_0</stp>
        <stp>GAMA</stp>
        <tr r="AP22" s="1"/>
      </tp>
      <tp t="b">
        <v>0</v>
        <stp/>
        <stp>EMBR3_B_0</stp>
        <stp>MED</stp>
        <tr r="L2" s="1"/>
      </tp>
      <tp t="b">
        <v>0</v>
        <stp/>
        <stp>GGBR4_B_0</stp>
        <stp>MED</stp>
        <tr r="L26" s="1"/>
      </tp>
      <tp t="b">
        <v>0</v>
        <stp/>
        <stp>ABEV3_B_0</stp>
        <stp>VEXT</stp>
        <tr r="AY27" s="1"/>
      </tp>
      <tp t="b">
        <v>0</v>
        <stp/>
        <stp>MGLU3_B_0</stp>
        <stp>CAB</stp>
        <tr r="AK17" s="1"/>
      </tp>
      <tp t="b">
        <v>0</v>
        <stp/>
        <stp>BRAP4_B_0</stp>
        <stp>NEG</stp>
        <tr r="N14" s="1"/>
      </tp>
      <tp t="b">
        <v>0</v>
        <stp/>
        <stp>GGBR4_B_0</stp>
        <stp>MAX</stp>
        <tr r="F26" s="1"/>
      </tp>
      <tp t="b">
        <v>0</v>
        <stp/>
        <stp>EMBR3_B_0</stp>
        <stp>MAX</stp>
        <tr r="F2" s="1"/>
      </tp>
      <tp t="b">
        <v>0</v>
        <stp/>
        <stp>BITFUT_F_0</stp>
        <stp>OVD</stp>
        <tr r="S4" s="2"/>
      </tp>
      <tp t="b">
        <v>0</v>
        <stp/>
        <stp>WINFUT_F_0</stp>
        <stp>OCP</stp>
        <tr r="R3" s="2"/>
      </tp>
      <tp>
        <v>0</v>
        <stp/>
        <stp>WDOFUT_F_0</stp>
        <stp>OCP</stp>
        <tr r="R2" s="2"/>
      </tp>
      <tp t="b">
        <v>0</v>
        <stp/>
        <stp>PETR3_B_0</stp>
        <stp>GAMA</stp>
        <tr r="AP30" s="1"/>
      </tp>
      <tp t="b">
        <v>0</v>
        <stp/>
        <stp>GOAU4_B_0</stp>
        <stp>NEG</stp>
        <tr r="N28" s="1"/>
      </tp>
      <tp t="b">
        <v>0</v>
        <stp/>
        <stp>SUZB3_B_0</stp>
        <stp>SEMES</stp>
        <tr r="AH19" s="1"/>
      </tp>
      <tp t="b">
        <v>0</v>
        <stp/>
        <stp>RENT3_B_0</stp>
        <stp>DELTA</stp>
        <tr r="AO13" s="1"/>
      </tp>
      <tp t="b">
        <v>0</v>
        <stp/>
        <stp>RENT3_B_0</stp>
        <stp>AJA</stp>
        <tr r="W13" s="1"/>
      </tp>
      <tp t="b">
        <v>0</v>
        <stp/>
        <stp>RENT3_B_0</stp>
        <stp>AJU</stp>
        <tr r="V13" s="1"/>
      </tp>
      <tp t="b">
        <v>0</v>
        <stp/>
        <stp>RENT3_B_0</stp>
        <stp>ANO</stp>
        <tr r="AF13" s="1"/>
      </tp>
      <tp t="b">
        <v>0</v>
        <stp/>
        <stp>INDFUT_F_0</stp>
        <stp>OVD</stp>
        <tr r="S25" s="1"/>
      </tp>
      <tp t="b">
        <v>0</v>
        <stp/>
        <stp>EMBR3_B_0</stp>
        <stp>MIN</stp>
        <tr r="G2" s="1"/>
      </tp>
      <tp t="b">
        <v>0</v>
        <stp/>
        <stp>GGBR4_B_0</stp>
        <stp>MIN</stp>
        <tr r="G26" s="1"/>
      </tp>
      <tp t="b">
        <v>0</v>
        <stp/>
        <stp>B3SA3_B_0</stp>
        <stp>TRIM</stp>
        <tr r="AG29" s="1"/>
      </tp>
      <tp t="b">
        <v>0</v>
        <stp/>
        <stp>CSNA3_B_0</stp>
        <stp>TRIM</stp>
        <tr r="AG6" s="1"/>
      </tp>
      <tp t="b">
        <v>0</v>
        <stp/>
        <stp>VALE3_B_0</stp>
        <stp>CAB</stp>
        <tr r="AK16" s="1"/>
      </tp>
      <tp t="b">
        <v>0</v>
        <stp/>
        <stp>WINFUT_F_0</stp>
        <stp>OVD</stp>
        <tr r="S3" s="2"/>
      </tp>
      <tp t="b">
        <v>0</v>
        <stp/>
        <stp>WDOFUT_F_0</stp>
        <stp>OVD</stp>
        <tr r="S2" s="2"/>
      </tp>
      <tp t="b">
        <v>0</v>
        <stp/>
        <stp>BITFUT_F_0</stp>
        <stp>OCP</stp>
        <tr r="R4" s="2"/>
      </tp>
      <tp t="b">
        <v>0</v>
        <stp/>
        <stp>ECOR3_B_0</stp>
        <stp>GAMA</stp>
        <tr r="AP9" s="1"/>
      </tp>
      <tp t="b">
        <v>0</v>
        <stp/>
        <stp>EMBR3_B_0</stp>
        <stp>GAMA</stp>
        <tr r="AP2" s="1"/>
      </tp>
      <tp t="b">
        <v>0</v>
        <stp/>
        <stp>CMIG4_B_0</stp>
        <stp>FEC</stp>
        <tr r="H20" s="1"/>
      </tp>
      <tp t="b">
        <v>0</v>
        <stp/>
        <stp>ITUB4_B_0</stp>
        <stp>IMPVT</stp>
        <tr r="AN18" s="1"/>
      </tp>
      <tp t="b">
        <v>0</v>
        <stp/>
        <stp>ITSA4_B_0</stp>
        <stp>IMPVT</stp>
        <tr r="AN4" s="1"/>
      </tp>
      <tp t="b">
        <v>0</v>
        <stp/>
        <stp>GFSA3_B_0</stp>
        <stp>TRIM</stp>
        <tr r="AG10" s="1"/>
      </tp>
      <tp t="b">
        <v>0</v>
        <stp/>
        <stp>CSNA3_B_0</stp>
        <stp>ABE</stp>
        <tr r="E6" s="1"/>
      </tp>
      <tp t="b">
        <v>0</v>
        <stp/>
        <stp>GGBR4_B_0</stp>
        <stp>GAMA</stp>
        <tr r="AP26" s="1"/>
      </tp>
      <tp t="b">
        <v>0</v>
        <stp/>
        <stp>INDFUT_F_0</stp>
        <stp>OCP</stp>
        <tr r="R25" s="1"/>
      </tp>
      <tp t="b">
        <v>0</v>
        <stp/>
        <stp>SUZB3_B_0</stp>
        <stp>ULT</stp>
        <tr r="D19" s="1"/>
      </tp>
      <tp t="b">
        <v>0</v>
        <stp/>
        <stp>CSNA3_B_0</stp>
        <stp>ANO</stp>
        <tr r="AF6" s="1"/>
      </tp>
      <tp t="b">
        <v>0</v>
        <stp/>
        <stp>ITSA4_B_0</stp>
        <stp>TRIM</stp>
        <tr r="AG4" s="1"/>
      </tp>
      <tp t="b">
        <v>0</v>
        <stp/>
        <stp>CSNA3_B_0</stp>
        <stp>AJU</stp>
        <tr r="V6" s="1"/>
      </tp>
      <tp t="b">
        <v>0</v>
        <stp/>
        <stp>ABEV3_B_0</stp>
        <stp>VEGA</stp>
        <tr r="AS27" s="1"/>
      </tp>
      <tp t="b">
        <v>0</v>
        <stp/>
        <stp>CSNA3_B_0</stp>
        <stp>AJA</stp>
        <tr r="W6" s="1"/>
      </tp>
      <tp t="b">
        <v>0</v>
        <stp/>
        <stp>USIM5_B_0</stp>
        <stp>FEC</stp>
        <tr r="H24" s="1"/>
      </tp>
      <tp t="b">
        <v>0</v>
        <stp/>
        <stp>INDFUT_F_0</stp>
        <stp>VARPTS</stp>
        <tr r="K25" s="1"/>
      </tp>
      <tp t="b">
        <v>0</v>
        <stp/>
        <stp>ABEV3_B_0</stp>
        <stp>DOBRAR</stp>
        <tr r="AV27" s="1"/>
      </tp>
      <tp t="b">
        <v>0</v>
        <stp/>
        <stp>BBDC4_B_0</stp>
        <stp>DOBRAR</stp>
        <tr r="AV12" s="1"/>
      </tp>
      <tp t="b">
        <v>0</v>
        <stp/>
        <stp>BBAS3_B_0</stp>
        <stp>DOBRAR</stp>
        <tr r="AV15" s="1"/>
      </tp>
      <tp t="b">
        <v>0</v>
        <stp/>
        <stp>BBAS3_B_0</stp>
        <stp>MES</stp>
        <tr r="AB15" s="1"/>
      </tp>
      <tp t="b">
        <v>0</v>
        <stp/>
        <stp>BBAS3_B_0</stp>
        <stp>MED</stp>
        <tr r="L15" s="1"/>
      </tp>
      <tp t="b">
        <v>0</v>
        <stp/>
        <stp>SUZB3_B_0</stp>
        <stp>TRIM</stp>
        <tr r="AG19" s="1"/>
      </tp>
      <tp t="b">
        <v>0</v>
        <stp/>
        <stp>EMBR3_B_0</stp>
        <stp>NEG</stp>
        <tr r="N2" s="1"/>
      </tp>
      <tp t="b">
        <v>0</v>
        <stp/>
        <stp>GGBR4_B_0</stp>
        <stp>NEG</stp>
        <tr r="N26" s="1"/>
      </tp>
      <tp t="b">
        <v>0</v>
        <stp/>
        <stp>GOAU4_B_0</stp>
        <stp>MAX</stp>
        <tr r="F28" s="1"/>
      </tp>
      <tp t="b">
        <v>0</v>
        <stp/>
        <stp>CMIG4_B_0</stp>
        <stp>EST</stp>
        <tr r="AL20" s="1"/>
      </tp>
      <tp t="b">
        <v>0</v>
        <stp/>
        <stp>GOAU4_B_0</stp>
        <stp>VEXT</stp>
        <tr r="AY28" s="1"/>
      </tp>
      <tp t="b">
        <v>0</v>
        <stp/>
        <stp>BRAP4_B_0</stp>
        <stp>MES</stp>
        <tr r="AB14" s="1"/>
      </tp>
      <tp t="b">
        <v>0</v>
        <stp/>
        <stp>BRAP4_B_0</stp>
        <stp>MED</stp>
        <tr r="L14" s="1"/>
      </tp>
      <tp t="b">
        <v>0</v>
        <stp/>
        <stp>BBAS3_B_0</stp>
        <stp>MAX</stp>
        <tr r="F15" s="1"/>
      </tp>
      <tp t="b">
        <v>0</v>
        <stp/>
        <stp>SUZB3_B_0</stp>
        <stp>VPJ</stp>
        <tr r="Z19" s="1"/>
      </tp>
      <tp t="b">
        <v>0</v>
        <stp/>
        <stp>ECOR3_B_0</stp>
        <stp>CAB</stp>
        <tr r="AK9" s="1"/>
      </tp>
      <tp t="b">
        <v>0</v>
        <stp/>
        <stp>GOAU4_B_0</stp>
        <stp>MES</stp>
        <tr r="AB28" s="1"/>
      </tp>
      <tp t="b">
        <v>0</v>
        <stp/>
        <stp>GOAU4_B_0</stp>
        <stp>MED</stp>
        <tr r="L28" s="1"/>
      </tp>
      <tp t="b">
        <v>0</v>
        <stp/>
        <stp>BRAP4_B_0</stp>
        <stp>MAX</stp>
        <tr r="F14" s="1"/>
      </tp>
      <tp t="b">
        <v>0</v>
        <stp/>
        <stp>MGLU3_B_0</stp>
        <stp>IMPVT</stp>
        <tr r="AN17" s="1"/>
      </tp>
      <tp t="b">
        <v>0</v>
        <stp/>
        <stp>USIM5_B_0</stp>
        <stp>EST</stp>
        <tr r="AL24" s="1"/>
      </tp>
      <tp t="b">
        <v>0</v>
        <stp/>
        <stp>GOAU4_B_0</stp>
        <stp>MIN</stp>
        <tr r="G28" s="1"/>
      </tp>
      <tp t="b">
        <v>0</v>
        <stp/>
        <stp>BBAS3_B_0</stp>
        <stp>MIN</stp>
        <tr r="G15" s="1"/>
      </tp>
      <tp t="b">
        <v>0</v>
        <stp/>
        <stp>MGLU3_B_0</stp>
        <stp>VEXT</stp>
        <tr r="AY17" s="1"/>
      </tp>
      <tp t="b">
        <v>0</v>
        <stp/>
        <stp>BRAP4_B_0</stp>
        <stp>MIN</stp>
        <tr r="G14" s="1"/>
      </tp>
      <tp t="b">
        <v>0</v>
        <stp/>
        <stp>SUZB3_B_0</stp>
        <stp>VEN</stp>
        <tr r="AI19" s="1"/>
      </tp>
      <tp t="b">
        <v>0</v>
        <stp/>
        <stp>MGLU3_B_0</stp>
        <stp>VEGA</stp>
        <tr r="AS17" s="1"/>
      </tp>
      <tp t="b">
        <v>0</v>
        <stp/>
        <stp>MRVE3_B_0</stp>
        <stp>IMPVT</stp>
        <tr r="AN11" s="1"/>
      </tp>
      <tp t="b">
        <v>0</v>
        <stp/>
        <stp>SUZB3_B_0</stp>
        <stp>VAL</stp>
        <tr r="AJ19" s="1"/>
      </tp>
      <tp t="b">
        <v>0</v>
        <stp/>
        <stp>SUZB3_B_0</stp>
        <stp>VAR</stp>
        <tr r="J19" s="1"/>
      </tp>
      <tp t="b">
        <v>0</v>
        <stp/>
        <stp>PETR3_B_0</stp>
        <stp>SEMES</stp>
        <tr r="AH30" s="1"/>
      </tp>
      <tp t="b">
        <v>0</v>
        <stp/>
        <stp>BBDC4_B_0</stp>
        <stp>HOR</stp>
        <tr r="C12" s="1"/>
      </tp>
      <tp t="b">
        <v>0</v>
        <stp/>
        <stp>SUZB3_B_0</stp>
        <stp>VOL</stp>
        <tr r="Q19" s="1"/>
      </tp>
      <tp t="b">
        <v>0</v>
        <stp/>
        <stp>SUZB3_B_0</stp>
        <stp>VOC</stp>
        <tr r="T19" s="1"/>
      </tp>
      <tp t="b">
        <v>0</v>
        <stp/>
        <stp>SUZB3_B_0</stp>
        <stp>VOV</stp>
        <tr r="U19" s="1"/>
      </tp>
      <tp t="b">
        <v>0</v>
        <stp/>
        <stp>ITUB4_B_0</stp>
        <stp>TRIM</stp>
        <tr r="AG18" s="1"/>
      </tp>
      <tp t="b">
        <v>0</v>
        <stp/>
        <stp>GOAU4_B_0</stp>
        <stp>VEGA</stp>
        <tr r="AS28" s="1"/>
      </tp>
      <tp t="b">
        <v>0</v>
        <stp/>
        <stp>SUZB3_B_0</stp>
        <stp>VIA</stp>
        <tr r="AT19" s="1"/>
      </tp>
      <tp t="b">
        <v>0</v>
        <stp/>
        <stp>SUZB3_B_0</stp>
        <stp>VIB</stp>
        <tr r="AU19" s="1"/>
      </tp>
      <tp t="b">
        <v>0</v>
        <stp/>
        <stp>VALE3_B_0</stp>
        <stp>DOBRAR</stp>
        <tr r="AV16" s="1"/>
      </tp>
      <tp t="b">
        <v>0</v>
        <stp/>
        <stp>ECOR3_B_0</stp>
        <stp>VARPTS</stp>
        <tr r="K9" s="1"/>
      </tp>
      <tp t="b">
        <v>0</v>
        <stp/>
        <stp>WINFUT_F_0</stp>
        <stp>MED</stp>
        <tr r="L3" s="2"/>
      </tp>
      <tp t="b">
        <v>0</v>
        <stp/>
        <stp>WDOFUT_F_0</stp>
        <stp>MED</stp>
        <tr r="L2" s="2"/>
      </tp>
      <tp t="b">
        <v>0</v>
        <stp/>
        <stp>WINFUT_F_0</stp>
        <stp>MES</stp>
        <tr r="AB3" s="2"/>
      </tp>
      <tp t="b">
        <v>0</v>
        <stp/>
        <stp>WDOFUT_F_0</stp>
        <stp>MES</stp>
        <tr r="AB2" s="2"/>
      </tp>
      <tp t="b">
        <v>0</v>
        <stp/>
        <stp>MGLU3_B_0</stp>
        <stp>ABE</stp>
        <tr r="E17" s="1"/>
      </tp>
      <tp t="b">
        <v>0</v>
        <stp/>
        <stp>RENT3_B_0</stp>
        <stp>CAB</stp>
        <tr r="AK13" s="1"/>
      </tp>
      <tp t="b">
        <v>0</v>
        <stp/>
        <stp>WDOFUT_F_0</stp>
        <stp>MAX</stp>
        <tr r="F2" s="2"/>
      </tp>
      <tp t="b">
        <v>0</v>
        <stp/>
        <stp>WINFUT_F_0</stp>
        <stp>MAX</stp>
        <tr r="F3" s="2"/>
      </tp>
      <tp t="b">
        <v>0</v>
        <stp/>
        <stp>GGBR4_B_0</stp>
        <stp>OCP</stp>
        <tr r="R26" s="1"/>
      </tp>
      <tp t="b">
        <v>0</v>
        <stp/>
        <stp>EMBR3_B_0</stp>
        <stp>OCP</stp>
        <tr r="R2" s="1"/>
      </tp>
      <tp t="b">
        <v>0</v>
        <stp/>
        <stp>PETR3_B_0</stp>
        <stp>DELTA</stp>
        <tr r="AO30" s="1"/>
      </tp>
      <tp t="b">
        <v>0</v>
        <stp/>
        <stp>MGLU3_B_0</stp>
        <stp>AJU</stp>
        <tr r="V17" s="1"/>
      </tp>
      <tp t="b">
        <v>0</v>
        <stp/>
        <stp>MGLU3_B_0</stp>
        <stp>AJA</stp>
        <tr r="W17" s="1"/>
      </tp>
      <tp t="b">
        <v>0</v>
        <stp/>
        <stp>VIVT3_B_0</stp>
        <stp>VEGA</stp>
        <tr r="AS3" s="1"/>
      </tp>
      <tp t="b">
        <v>0</v>
        <stp/>
        <stp>WDOFUT_F_0</stp>
        <stp>MIN</stp>
        <tr r="G2" s="2"/>
      </tp>
      <tp t="b">
        <v>0</v>
        <stp/>
        <stp>WINFUT_F_0</stp>
        <stp>MIN</stp>
        <tr r="G3" s="2"/>
      </tp>
      <tp t="b">
        <v>0</v>
        <stp/>
        <stp>MGLU3_B_0</stp>
        <stp>ANO</stp>
        <tr r="AF17" s="1"/>
      </tp>
      <tp t="b">
        <v>0</v>
        <stp/>
        <stp>RENT3_B_0</stp>
        <stp>VEGA</stp>
        <tr r="AS13" s="1"/>
      </tp>
      <tp t="b">
        <v>0</v>
        <stp/>
        <stp>ABEV3_B_0</stp>
        <stp>HOR</stp>
        <tr r="C27" s="1"/>
      </tp>
      <tp t="b">
        <v>0</v>
        <stp/>
        <stp>CMIG4_B_0</stp>
        <stp>DAT</stp>
        <tr r="B20" s="1"/>
      </tp>
      <tp t="b">
        <v>0</v>
        <stp/>
        <stp>BITFUT_F_0</stp>
        <stp>MAX</stp>
        <tr r="F4" s="2"/>
      </tp>
      <tp t="b">
        <v>0</v>
        <stp/>
        <stp>RENT3_B_0</stp>
        <stp>VEXT</stp>
        <tr r="AY13" s="1"/>
      </tp>
      <tp t="b">
        <v>0</v>
        <stp/>
        <stp>VALE3_B_0</stp>
        <stp>ABE</stp>
        <tr r="E16" s="1"/>
      </tp>
      <tp t="b">
        <v>0</v>
        <stp/>
        <stp>INDFUT_F_0</stp>
        <stp>MIN</stp>
        <tr r="G25" s="1"/>
      </tp>
      <tp t="b">
        <v>0</v>
        <stp/>
        <stp>EMBR3_B_0</stp>
        <stp>OVD</stp>
        <tr r="S2" s="1"/>
      </tp>
      <tp t="b">
        <v>0</v>
        <stp/>
        <stp>GGBR4_B_0</stp>
        <stp>OVD</stp>
        <tr r="S26" s="1"/>
      </tp>
      <tp t="b">
        <v>0</v>
        <stp/>
        <stp>LREN3_B_0</stp>
        <stp>IMPVT</stp>
        <tr r="AN7" s="1"/>
      </tp>
      <tp t="b">
        <v>0</v>
        <stp/>
        <stp>BRAP4_B_0</stp>
        <stp>GAMA</stp>
        <tr r="AP14" s="1"/>
      </tp>
      <tp t="b">
        <v>0</v>
        <stp/>
        <stp>BITFUT_F_0</stp>
        <stp>MED</stp>
        <tr r="L4" s="2"/>
      </tp>
      <tp t="b">
        <v>0</v>
        <stp/>
        <stp>BITFUT_F_0</stp>
        <stp>MES</stp>
        <tr r="AB4" s="2"/>
      </tp>
      <tp t="b">
        <v>0</v>
        <stp/>
        <stp>VIVT3_B_0</stp>
        <stp>VEXT</stp>
        <tr r="AY3" s="1"/>
      </tp>
      <tp t="b">
        <v>0</v>
        <stp/>
        <stp>CIEL3_B_0</stp>
        <stp>HOR</stp>
        <tr r="C8" s="1"/>
      </tp>
      <tp t="b">
        <v>0</v>
        <stp/>
        <stp>CSNA3_B_0</stp>
        <stp>CAB</stp>
        <tr r="AK6" s="1"/>
      </tp>
      <tp t="b">
        <v>0</v>
        <stp/>
        <stp>LREN3_B_0</stp>
        <stp>HOR</stp>
        <tr r="C7" s="1"/>
      </tp>
      <tp t="b">
        <v>0</v>
        <stp/>
        <stp>BBDC4_B_0</stp>
        <stp>TRIM</stp>
        <tr r="AG12" s="1"/>
      </tp>
      <tp t="b">
        <v>0</v>
        <stp/>
        <stp>BITFUT_F_0</stp>
        <stp>MIN</stp>
        <tr r="G4" s="2"/>
      </tp>
      <tp t="b">
        <v>0</v>
        <stp/>
        <stp>VALE3_B_0</stp>
        <stp>AJA</stp>
        <tr r="W16" s="1"/>
      </tp>
      <tp t="b">
        <v>0</v>
        <stp/>
        <stp>VALE3_B_0</stp>
        <stp>AJU</stp>
        <tr r="V16" s="1"/>
      </tp>
      <tp t="b">
        <v>0</v>
        <stp/>
        <stp>INDFUT_F_0</stp>
        <stp>MAX</stp>
        <tr r="F25" s="1"/>
      </tp>
      <tp t="b">
        <v>0</v>
        <stp/>
        <stp>USIM5_B_0</stp>
        <stp>DAT</stp>
        <tr r="B24" s="1"/>
      </tp>
      <tp t="b">
        <v>0</v>
        <stp/>
        <stp>VALE3_B_0</stp>
        <stp>ANO</stp>
        <tr r="AF16" s="1"/>
      </tp>
      <tp t="b">
        <v>0</v>
        <stp/>
        <stp>INDFUT_F_0</stp>
        <stp>MED</stp>
        <tr r="L25" s="1"/>
      </tp>
      <tp t="b">
        <v>0</v>
        <stp/>
        <stp>INDFUT_F_0</stp>
        <stp>MES</stp>
        <tr r="AB25" s="1"/>
      </tp>
      <tp t="b">
        <v>0</v>
        <stp/>
        <stp>BBAS3_B_0</stp>
        <stp>VARPTS</stp>
        <tr r="K15" s="1"/>
      </tp>
      <tp t="b">
        <v>0</v>
        <stp/>
        <stp>BBDC4_B_0</stp>
        <stp>VARPTS</stp>
        <tr r="K12" s="1"/>
      </tp>
      <tp t="b">
        <v>0</v>
        <stp/>
        <stp>ABEV3_B_0</stp>
        <stp>VARPTS</stp>
        <tr r="K27" s="1"/>
      </tp>
      <tp t="b">
        <v>0</v>
        <stp/>
        <stp>INDFUT_F_0</stp>
        <stp>DOBRAR</stp>
        <tr r="AV25" s="1"/>
      </tp>
      <tp t="b">
        <v>0</v>
        <stp/>
        <stp>PETR4_B_0</stp>
        <stp>VEN</stp>
        <tr r="AI22" s="1"/>
      </tp>
      <tp t="b">
        <v>0</v>
        <stp/>
        <stp>PETR3_B_0</stp>
        <stp>VEN</stp>
        <tr r="AI30" s="1"/>
      </tp>
      <tp t="b">
        <v>0</v>
        <stp/>
        <stp>CYRE3_B_0</stp>
        <stp>PRT</stp>
        <tr r="X5" s="1"/>
      </tp>
      <tp t="b">
        <v>0</v>
        <stp/>
        <stp>ECOR3_B_0</stp>
        <stp>MES</stp>
        <tr r="AB9" s="1"/>
      </tp>
      <tp t="b">
        <v>0</v>
        <stp/>
        <stp>ECOR3_B_0</stp>
        <stp>MED</stp>
        <tr r="L9" s="1"/>
      </tp>
      <tp t="b">
        <v>0</v>
        <stp/>
        <stp>GFSA3_B_0</stp>
        <stp>QUL</stp>
        <tr r="O10" s="1"/>
      </tp>
      <tp t="b">
        <v>0</v>
        <stp/>
        <stp>B3SA3_B_0</stp>
        <stp>QUL</stp>
        <tr r="O29" s="1"/>
      </tp>
      <tp t="b">
        <v>0</v>
        <stp/>
        <stp>ITSA4_B_0</stp>
        <stp>QUL</stp>
        <tr r="O4" s="1"/>
      </tp>
      <tp t="b">
        <v>0</v>
        <stp/>
        <stp>GOAU4_B_0</stp>
        <stp>CAB</stp>
        <tr r="AK28" s="1"/>
      </tp>
      <tp t="b">
        <v>0</v>
        <stp/>
        <stp>ITSA4_B_0</stp>
        <stp>QTT</stp>
        <tr r="P4" s="1"/>
      </tp>
      <tp t="b">
        <v>0</v>
        <stp/>
        <stp>GFSA3_B_0</stp>
        <stp>QTT</stp>
        <tr r="P10" s="1"/>
      </tp>
      <tp t="b">
        <v>0</v>
        <stp/>
        <stp>B3SA3_B_0</stp>
        <stp>QTT</stp>
        <tr r="P29" s="1"/>
      </tp>
      <tp t="b">
        <v>0</v>
        <stp/>
        <stp>ITSA4_B_0</stp>
        <stp>QTE</stp>
        <tr r="Y4" s="1"/>
      </tp>
      <tp t="b">
        <v>0</v>
        <stp/>
        <stp>GFSA3_B_0</stp>
        <stp>QTE</stp>
        <tr r="Y10" s="1"/>
      </tp>
      <tp t="b">
        <v>0</v>
        <stp/>
        <stp>B3SA3_B_0</stp>
        <stp>QTE</stp>
        <tr r="Y29" s="1"/>
      </tp>
      <tp t="b">
        <v>0</v>
        <stp/>
        <stp>VALE3_B_0</stp>
        <stp>THETA</stp>
        <tr r="AQ16" s="1"/>
      </tp>
      <tp t="b">
        <v>0</v>
        <stp/>
        <stp>BRFS3_B_0</stp>
        <stp>DAT</stp>
        <tr r="B21" s="1"/>
      </tp>
      <tp t="b">
        <v>0</v>
        <stp/>
        <stp>BBAS3_B_0</stp>
        <stp>CAB</stp>
        <tr r="AK15" s="1"/>
      </tp>
      <tp t="b">
        <v>0</v>
        <stp/>
        <stp>PETR4_B_0</stp>
        <stp>VAL</stp>
        <tr r="AJ22" s="1"/>
      </tp>
      <tp t="b">
        <v>0</v>
        <stp/>
        <stp>ECOR3_B_0</stp>
        <stp>MAX</stp>
        <tr r="F9" s="1"/>
      </tp>
      <tp t="b">
        <v>0</v>
        <stp/>
        <stp>PETR3_B_0</stp>
        <stp>VAL</stp>
        <tr r="AJ30" s="1"/>
      </tp>
      <tp t="b">
        <v>0</v>
        <stp/>
        <stp>PETR3_B_0</stp>
        <stp>VAR</stp>
        <tr r="J30" s="1"/>
      </tp>
      <tp t="b">
        <v>0</v>
        <stp/>
        <stp>PETR4_B_0</stp>
        <stp>VAR</stp>
        <tr r="J22" s="1"/>
      </tp>
      <tp t="b">
        <v>0</v>
        <stp/>
        <stp>MGLU3_B_0</stp>
        <stp>NEG</stp>
        <tr r="N17" s="1"/>
      </tp>
      <tp t="b">
        <v>0</v>
        <stp/>
        <stp>BRAP4_B_0</stp>
        <stp>CAB</stp>
        <tr r="AK14" s="1"/>
      </tp>
      <tp t="b">
        <v>0</v>
        <stp/>
        <stp>CIEL3_B_0</stp>
        <stp>IMPVT</stp>
        <tr r="AN8" s="1"/>
      </tp>
      <tp t="b">
        <v>0</v>
        <stp/>
        <stp>PETR4_B_0</stp>
        <stp>VOL</stp>
        <tr r="Q22" s="1"/>
      </tp>
      <tp t="b">
        <v>0</v>
        <stp/>
        <stp>PETR3_B_0</stp>
        <stp>VOL</stp>
        <tr r="Q30" s="1"/>
      </tp>
      <tp t="b">
        <v>0</v>
        <stp/>
        <stp>PETR3_B_0</stp>
        <stp>VOC</stp>
        <tr r="T30" s="1"/>
      </tp>
      <tp t="b">
        <v>0</v>
        <stp/>
        <stp>PETR4_B_0</stp>
        <stp>VOC</stp>
        <tr r="T22" s="1"/>
      </tp>
      <tp t="b">
        <v>0</v>
        <stp/>
        <stp>PETR4_B_0</stp>
        <stp>VOV</stp>
        <tr r="U22" s="1"/>
      </tp>
      <tp t="b">
        <v>0</v>
        <stp/>
        <stp>PETR3_B_0</stp>
        <stp>VOV</stp>
        <tr r="U30" s="1"/>
      </tp>
      <tp t="b">
        <v>0</v>
        <stp/>
        <stp>VIVT3_B_0</stp>
        <stp>THETA</stp>
        <tr r="AQ3" s="1"/>
      </tp>
      <tp t="b">
        <v>0</v>
        <stp/>
        <stp>PETR3_B_0</stp>
        <stp>VIB</stp>
        <tr r="AU30" s="1"/>
      </tp>
      <tp t="b">
        <v>0</v>
        <stp/>
        <stp>PETR3_B_0</stp>
        <stp>VIA</stp>
        <tr r="AT30" s="1"/>
      </tp>
      <tp t="b">
        <v>0</v>
        <stp/>
        <stp>PETR4_B_0</stp>
        <stp>VIA</stp>
        <tr r="AT22" s="1"/>
      </tp>
      <tp t="b">
        <v>0</v>
        <stp/>
        <stp>PETR4_B_0</stp>
        <stp>VIB</stp>
        <tr r="AU22" s="1"/>
      </tp>
      <tp t="b">
        <v>0</v>
        <stp/>
        <stp>ECOR3_B_0</stp>
        <stp>MIN</stp>
        <tr r="G9" s="1"/>
      </tp>
      <tp t="b">
        <v>0</v>
        <stp/>
        <stp>BBDC4_B_0</stp>
        <stp>FEC</stp>
        <tr r="H12" s="1"/>
      </tp>
      <tp t="b">
        <v>0</v>
        <stp/>
        <stp>RENT3_B_0</stp>
        <stp>BLACK</stp>
        <tr r="AM13" s="1"/>
      </tp>
      <tp t="b">
        <v>0</v>
        <stp/>
        <stp>CIEL3_B_0</stp>
        <stp>TRIM</stp>
        <tr r="AG8" s="1"/>
      </tp>
      <tp t="b">
        <v>0</v>
        <stp/>
        <stp>CSNA3_B_0</stp>
        <stp>IMPVT</stp>
        <tr r="AN6" s="1"/>
      </tp>
      <tp t="b">
        <v>0</v>
        <stp/>
        <stp>PETR3_B_0</stp>
        <stp>VPJ</stp>
        <tr r="Z30" s="1"/>
      </tp>
      <tp t="b">
        <v>0</v>
        <stp/>
        <stp>PETR4_B_0</stp>
        <stp>VPJ</stp>
        <tr r="Z22" s="1"/>
      </tp>
      <tp t="b">
        <v>0</v>
        <stp/>
        <stp>CYRE3_B_0</stp>
        <stp>PEX</stp>
        <tr r="I5" s="1"/>
      </tp>
      <tp t="b">
        <v>0</v>
        <stp/>
        <stp>VALE3_B_0</stp>
        <stp>NEG</stp>
        <tr r="N16" s="1"/>
      </tp>
      <tp t="b">
        <v>0</v>
        <stp/>
        <stp>IBOV_B_0</stp>
        <stp>DAT</stp>
        <tr r="B23" s="1"/>
      </tp>
      <tp t="b">
        <v>0</v>
        <stp/>
        <stp>CYRE3_B_0</stp>
        <stp>IMPVT</stp>
        <tr r="AN5" s="1"/>
      </tp>
      <tp t="b">
        <v>0</v>
        <stp/>
        <stp>CMIG4_B_0</stp>
        <stp>VARPTS</stp>
        <tr r="K20" s="1"/>
      </tp>
      <tp t="b">
        <v>0</v>
        <stp/>
        <stp>EMBR3_B_0</stp>
        <stp>VARPTS</stp>
        <tr r="K2" s="1"/>
      </tp>
      <tp t="b">
        <v>0</v>
        <stp/>
        <stp>GOAU4_B_0</stp>
        <stp>DOBRAR</stp>
        <tr r="AV28" s="1"/>
      </tp>
      <tp t="b">
        <v>0</v>
        <stp/>
        <stp>INDFUT_F_0</stp>
        <stp>TRIM</stp>
        <tr r="AG25" s="1"/>
      </tp>
      <tp t="b">
        <v>0</v>
        <stp/>
        <stp>MGLU3_B_0</stp>
        <stp>OCP</stp>
        <tr r="R17" s="1"/>
      </tp>
      <tp t="b">
        <v>0</v>
        <stp/>
        <stp>SUZB3_B_0</stp>
        <stp>BLACK</stp>
        <tr r="AM19" s="1"/>
      </tp>
      <tp t="b">
        <v>0</v>
        <stp/>
        <stp>USIM5_B_0</stp>
        <stp>TRIM</stp>
        <tr r="AG24" s="1"/>
      </tp>
      <tp t="b">
        <v>0</v>
        <stp/>
        <stp>BBAS3_B_0</stp>
        <stp>IMPVT</stp>
        <tr r="AN15" s="1"/>
      </tp>
      <tp t="b">
        <v>0</v>
        <stp/>
        <stp>RENT3_B_0</stp>
        <stp>MAX</stp>
        <tr r="F13" s="1"/>
      </tp>
      <tp t="b">
        <v>0</v>
        <stp/>
        <stp>WINFUT_F_0</stp>
        <stp>CAB</stp>
        <tr r="AK3" s="2"/>
      </tp>
      <tp t="b">
        <v>0</v>
        <stp/>
        <stp>WDOFUT_F_0</stp>
        <stp>CAB</stp>
        <tr r="AK2" s="2"/>
      </tp>
      <tp t="b">
        <v>0</v>
        <stp/>
        <stp>ITUB4_B_0</stp>
        <stp>VPJ</stp>
        <tr r="Z18" s="1"/>
      </tp>
      <tp t="b">
        <v>0</v>
        <stp/>
        <stp>ITSA4_B_0</stp>
        <stp>PRT</stp>
        <tr r="X4" s="1"/>
      </tp>
      <tp t="b">
        <v>0</v>
        <stp/>
        <stp>GFSA3_B_0</stp>
        <stp>PRT</stp>
        <tr r="X10" s="1"/>
      </tp>
      <tp t="b">
        <v>0</v>
        <stp/>
        <stp>VALE3_B_0</stp>
        <stp>OVD</stp>
        <tr r="S16" s="1"/>
      </tp>
      <tp t="b">
        <v>0</v>
        <stp/>
        <stp>B3SA3_B_0</stp>
        <stp>PRT</stp>
        <tr r="X29" s="1"/>
      </tp>
      <tp t="b">
        <v>0</v>
        <stp/>
        <stp>ABEV3_B_0</stp>
        <stp>FEC</stp>
        <tr r="H27" s="1"/>
      </tp>
      <tp t="b">
        <v>0</v>
        <stp/>
        <stp>CYRE3_B_0</stp>
        <stp>QUL</stp>
        <tr r="O5" s="1"/>
      </tp>
      <tp t="b">
        <v>0</v>
        <stp/>
        <stp>EMBR3_B_0</stp>
        <stp>ABE</stp>
        <tr r="E2" s="1"/>
      </tp>
      <tp t="b">
        <v>0</v>
        <stp/>
        <stp>GGBR4_B_0</stp>
        <stp>ABE</stp>
        <tr r="E26" s="1"/>
      </tp>
      <tp t="b">
        <v>0</v>
        <stp/>
        <stp>USIM5_B_0</stp>
        <stp>BLACK</stp>
        <tr r="AM24" s="1"/>
      </tp>
      <tp t="b">
        <v>0</v>
        <stp/>
        <stp>CYRE3_B_0</stp>
        <stp>QTT</stp>
        <tr r="P5" s="1"/>
      </tp>
      <tp t="b">
        <v>0</v>
        <stp/>
        <stp>RENT3_B_0</stp>
        <stp>MED</stp>
        <tr r="L13" s="1"/>
      </tp>
      <tp t="b">
        <v>0</v>
        <stp/>
        <stp>RENT3_B_0</stp>
        <stp>MES</stp>
        <tr r="AB13" s="1"/>
      </tp>
      <tp t="b">
        <v>0</v>
        <stp/>
        <stp>CYRE3_B_0</stp>
        <stp>QTE</stp>
        <tr r="Y5" s="1"/>
      </tp>
      <tp t="b">
        <v>0</v>
        <stp/>
        <stp>PETR4_B_0</stp>
        <stp>THETA</stp>
        <tr r="AQ22" s="1"/>
      </tp>
      <tp t="b">
        <v>0</v>
        <stp/>
        <stp>EMBR3_B_0</stp>
        <stp>ANO</stp>
        <tr r="AF2" s="1"/>
      </tp>
      <tp t="b">
        <v>0</v>
        <stp/>
        <stp>GGBR4_B_0</stp>
        <stp>ANO</stp>
        <tr r="AF26" s="1"/>
      </tp>
      <tp t="b">
        <v>0</v>
        <stp/>
        <stp>RENT3_B_0</stp>
        <stp>MIN</stp>
        <tr r="G13" s="1"/>
      </tp>
      <tp t="b">
        <v>0</v>
        <stp/>
        <stp>IBOV_B_0</stp>
        <stp>EST</stp>
        <tr r="AL23" s="1"/>
      </tp>
      <tp t="b">
        <v>0</v>
        <stp/>
        <stp>ABEV3_B_0</stp>
        <stp>VIVH</stp>
        <tr r="AW27" s="1"/>
      </tp>
      <tp t="b">
        <v>0</v>
        <stp/>
        <stp>EMBR3_B_0</stp>
        <stp>AJU</stp>
        <tr r="V2" s="1"/>
      </tp>
      <tp t="b">
        <v>0</v>
        <stp/>
        <stp>GGBR4_B_0</stp>
        <stp>AJU</stp>
        <tr r="V26" s="1"/>
      </tp>
      <tp t="b">
        <v>0</v>
        <stp/>
        <stp>VIVT3_B_0</stp>
        <stp>ULT</stp>
        <tr r="D3" s="1"/>
      </tp>
      <tp t="b">
        <v>0</v>
        <stp/>
        <stp>GGBR4_B_0</stp>
        <stp>AJA</stp>
        <tr r="W26" s="1"/>
      </tp>
      <tp t="b">
        <v>0</v>
        <stp/>
        <stp>EMBR3_B_0</stp>
        <stp>AJA</stp>
        <tr r="W2" s="1"/>
      </tp>
      <tp t="b">
        <v>0</v>
        <stp/>
        <stp>VALE3_B_0</stp>
        <stp>OCP</stp>
        <tr r="R16" s="1"/>
      </tp>
      <tp t="b">
        <v>0</v>
        <stp/>
        <stp>BITFUT_F_0</stp>
        <stp>CAB</stp>
        <tr r="AK4" s="2"/>
      </tp>
      <tp t="b">
        <v>0</v>
        <stp/>
        <stp>ITUB4_B_0</stp>
        <stp>VEN</stp>
        <tr r="AI18" s="1"/>
      </tp>
      <tp t="b">
        <v>0</v>
        <stp/>
        <stp>B3SA3_B_0</stp>
        <stp>PEX</stp>
        <tr r="I29" s="1"/>
      </tp>
      <tp t="b">
        <v>0</v>
        <stp/>
        <stp>GFSA3_B_0</stp>
        <stp>PEX</stp>
        <tr r="I10" s="1"/>
      </tp>
      <tp t="b">
        <v>0</v>
        <stp/>
        <stp>CSNA3_B_0</stp>
        <stp>MES</stp>
        <tr r="AB6" s="1"/>
      </tp>
      <tp t="b">
        <v>0</v>
        <stp/>
        <stp>ITSA4_B_0</stp>
        <stp>PEX</stp>
        <tr r="I4" s="1"/>
      </tp>
      <tp t="b">
        <v>0</v>
        <stp/>
        <stp>CSNA3_B_0</stp>
        <stp>MED</stp>
        <tr r="L6" s="1"/>
      </tp>
      <tp t="b">
        <v>0</v>
        <stp/>
        <stp>BRFS3_B_0</stp>
        <stp>IMPVT</stp>
        <tr r="AN21" s="1"/>
      </tp>
      <tp t="b">
        <v>0</v>
        <stp/>
        <stp>ABEV3_B_0</stp>
        <stp>VINT</stp>
        <tr r="AX27" s="1"/>
      </tp>
      <tp t="b">
        <v>0</v>
        <stp/>
        <stp>ITUB4_B_0</stp>
        <stp>VAR</stp>
        <tr r="J18" s="1"/>
      </tp>
      <tp t="b">
        <v>0</v>
        <stp/>
        <stp>MGLU3_B_0</stp>
        <stp>OVD</stp>
        <tr r="S17" s="1"/>
      </tp>
      <tp t="b">
        <v>0</v>
        <stp/>
        <stp>ITUB4_B_0</stp>
        <stp>VAL</stp>
        <tr r="AJ18" s="1"/>
      </tp>
      <tp t="b">
        <v>0</v>
        <stp/>
        <stp>CSNA3_B_0</stp>
        <stp>MAX</stp>
        <tr r="F6" s="1"/>
      </tp>
      <tp t="b">
        <v>0</v>
        <stp/>
        <stp>BRFS3_B_0</stp>
        <stp>EST</stp>
        <tr r="AL21" s="1"/>
      </tp>
      <tp t="b">
        <v>0</v>
        <stp/>
        <stp>INDFUT_F_0</stp>
        <stp>CAB</stp>
        <tr r="AK25" s="1"/>
      </tp>
      <tp t="b">
        <v>0</v>
        <stp/>
        <stp>ITUB4_B_0</stp>
        <stp>VOV</stp>
        <tr r="U18" s="1"/>
      </tp>
      <tp t="b">
        <v>0</v>
        <stp/>
        <stp>ITUB4_B_0</stp>
        <stp>VOC</stp>
        <tr r="T18" s="1"/>
      </tp>
      <tp t="b">
        <v>0</v>
        <stp/>
        <stp>ITUB4_B_0</stp>
        <stp>VOL</stp>
        <tr r="Q18" s="1"/>
      </tp>
      <tp t="b">
        <v>0</v>
        <stp/>
        <stp>LREN3_B_0</stp>
        <stp>FEC</stp>
        <tr r="H7" s="1"/>
      </tp>
      <tp t="b">
        <v>0</v>
        <stp/>
        <stp>ITUB4_B_0</stp>
        <stp>VIA</stp>
        <tr r="AT18" s="1"/>
      </tp>
      <tp t="b">
        <v>0</v>
        <stp/>
        <stp>ITUB4_B_0</stp>
        <stp>VIB</stp>
        <tr r="AU18" s="1"/>
      </tp>
      <tp t="b">
        <v>0</v>
        <stp/>
        <stp>CSNA3_B_0</stp>
        <stp>MIN</stp>
        <tr r="G6" s="1"/>
      </tp>
      <tp t="b">
        <v>0</v>
        <stp/>
        <stp>MRVE3_B_0</stp>
        <stp>ULT</stp>
        <tr r="D11" s="1"/>
      </tp>
      <tp t="b">
        <v>0</v>
        <stp/>
        <stp>CIEL3_B_0</stp>
        <stp>FEC</stp>
        <tr r="H8" s="1"/>
      </tp>
      <tp t="b">
        <v>0</v>
        <stp/>
        <stp>B3SA3_B_0</stp>
        <stp>IMPVT</stp>
        <tr r="AN29" s="1"/>
      </tp>
      <tp t="b">
        <v>0</v>
        <stp/>
        <stp>MGLU3_B_0</stp>
        <stp>VIVH</stp>
        <tr r="AW17" s="1"/>
      </tp>
      <tp t="b">
        <v>0</v>
        <stp/>
        <stp>BRFS3_B_0</stp>
        <stp>FEC</stp>
        <tr r="H21" s="1"/>
      </tp>
      <tp t="b">
        <v>0</v>
        <stp/>
        <stp>GOAU4_B_0</stp>
        <stp>ABE</stp>
        <tr r="E28" s="1"/>
      </tp>
      <tp t="b">
        <v>0</v>
        <stp/>
        <stp>ABEV3_B_0</stp>
        <stp>IMPVT</stp>
        <tr r="AN27" s="1"/>
      </tp>
      <tp t="b">
        <v>0</v>
        <stp/>
        <stp>VIVT3_B_0</stp>
        <stp>VAL</stp>
        <tr r="AJ3" s="1"/>
      </tp>
      <tp t="b">
        <v>0</v>
        <stp/>
        <stp>MRVE3_B_0</stp>
        <stp>VPJ</stp>
        <tr r="Z11" s="1"/>
      </tp>
      <tp t="b">
        <v>0</v>
        <stp/>
        <stp>VIVT3_B_0</stp>
        <stp>VAR</stp>
        <tr r="J3" s="1"/>
      </tp>
      <tp t="b">
        <v>0</v>
        <stp/>
        <stp>BRAP4_B_0</stp>
        <stp>ABE</stp>
        <tr r="E14" s="1"/>
      </tp>
      <tp t="b">
        <v>0</v>
        <stp/>
        <stp>VIVT3_B_0</stp>
        <stp>VEN</stp>
        <tr r="AI3" s="1"/>
      </tp>
      <tp t="b">
        <v>0</v>
        <stp/>
        <stp>ECOR3_B_0</stp>
        <stp>OCP</stp>
        <tr r="R9" s="1"/>
      </tp>
      <tp t="b">
        <v>0</v>
        <stp/>
        <stp>RENT3_B_0</stp>
        <stp>NEG</stp>
        <tr r="N13" s="1"/>
      </tp>
      <tp t="b">
        <v>0</v>
        <stp/>
        <stp>BBAS3_B_0</stp>
        <stp>ABE</stp>
        <tr r="E15" s="1"/>
      </tp>
      <tp t="b">
        <v>0</v>
        <stp/>
        <stp>BRAP4_B_0</stp>
        <stp>ANO</stp>
        <tr r="AF14" s="1"/>
      </tp>
      <tp t="b">
        <v>0</v>
        <stp/>
        <stp>CIEL3_B_0</stp>
        <stp>EST</stp>
        <tr r="AL8" s="1"/>
      </tp>
      <tp t="b">
        <v>0</v>
        <stp/>
        <stp>GOAU4_B_0</stp>
        <stp>AJU</stp>
        <tr r="V28" s="1"/>
      </tp>
      <tp t="b">
        <v>0</v>
        <stp/>
        <stp>GOAU4_B_0</stp>
        <stp>AJA</stp>
        <tr r="W28" s="1"/>
      </tp>
      <tp t="b">
        <v>0</v>
        <stp/>
        <stp>LREN3_B_0</stp>
        <stp>EST</stp>
        <tr r="AL7" s="1"/>
      </tp>
      <tp t="b">
        <v>0</v>
        <stp/>
        <stp>VIVT3_B_0</stp>
        <stp>VIA</stp>
        <tr r="AT3" s="1"/>
      </tp>
      <tp t="b">
        <v>0</v>
        <stp/>
        <stp>VIVT3_B_0</stp>
        <stp>VIB</stp>
        <tr r="AU3" s="1"/>
      </tp>
      <tp t="b">
        <v>0</v>
        <stp/>
        <stp>BBAS3_B_0</stp>
        <stp>ANO</stp>
        <tr r="AF15" s="1"/>
      </tp>
      <tp t="b">
        <v>0</v>
        <stp/>
        <stp>BRAP4_B_0</stp>
        <stp>AJU</stp>
        <tr r="V14" s="1"/>
      </tp>
      <tp t="b">
        <v>0</v>
        <stp/>
        <stp>BRAP4_B_0</stp>
        <stp>AJA</stp>
        <tr r="W14" s="1"/>
      </tp>
      <tp t="b">
        <v>0</v>
        <stp/>
        <stp>VIVT3_B_0</stp>
        <stp>VOL</stp>
        <tr r="Q3" s="1"/>
      </tp>
      <tp t="b">
        <v>0</v>
        <stp/>
        <stp>VIVT3_B_0</stp>
        <stp>VOC</stp>
        <tr r="T3" s="1"/>
      </tp>
      <tp t="b">
        <v>0</v>
        <stp/>
        <stp>GOAU4_B_0</stp>
        <stp>VIVH</stp>
        <tr r="AW28" s="1"/>
      </tp>
      <tp t="b">
        <v>0</v>
        <stp/>
        <stp>GOAU4_B_0</stp>
        <stp>ANO</stp>
        <tr r="AF28" s="1"/>
      </tp>
      <tp t="b">
        <v>0</v>
        <stp/>
        <stp>VIVT3_B_0</stp>
        <stp>VOV</stp>
        <tr r="U3" s="1"/>
      </tp>
      <tp t="b">
        <v>0</v>
        <stp/>
        <stp>BBAS3_B_0</stp>
        <stp>AJU</stp>
        <tr r="V15" s="1"/>
      </tp>
      <tp t="b">
        <v>0</v>
        <stp/>
        <stp>BBAS3_B_0</stp>
        <stp>AJA</stp>
        <tr r="W15" s="1"/>
      </tp>
      <tp t="b">
        <v>0</v>
        <stp/>
        <stp>PETR3_B_0</stp>
        <stp>BLACK</stp>
        <tr r="AM30" s="1"/>
      </tp>
      <tp t="b">
        <v>0</v>
        <stp/>
        <stp>MRVE3_B_0</stp>
        <stp>VAR</stp>
        <tr r="J11" s="1"/>
      </tp>
      <tp t="b">
        <v>0</v>
        <stp/>
        <stp>VIVT3_B_0</stp>
        <stp>VPJ</stp>
        <tr r="Z3" s="1"/>
      </tp>
      <tp t="b">
        <v>0</v>
        <stp/>
        <stp>GFSA3_B_0</stp>
        <stp>SEM</stp>
        <tr r="AA10" s="1"/>
      </tp>
      <tp t="b">
        <v>0</v>
        <stp/>
        <stp>B3SA3_B_0</stp>
        <stp>SEM</stp>
        <tr r="AA29" s="1"/>
      </tp>
      <tp t="b">
        <v>0</v>
        <stp/>
        <stp>ITSA4_B_0</stp>
        <stp>SEM</stp>
        <tr r="AA4" s="1"/>
      </tp>
      <tp t="b">
        <v>0</v>
        <stp/>
        <stp>MRVE3_B_0</stp>
        <stp>VAL</stp>
        <tr r="AJ11" s="1"/>
      </tp>
      <tp t="b">
        <v>0</v>
        <stp/>
        <stp>ECOR3_B_0</stp>
        <stp>OVD</stp>
        <tr r="S9" s="1"/>
      </tp>
      <tp t="b">
        <v>0</v>
        <stp/>
        <stp>CSNA3_B_0</stp>
        <stp>NEG</stp>
        <tr r="N6" s="1"/>
      </tp>
      <tp t="b">
        <v>0</v>
        <stp/>
        <stp>ABEV3_B_0</stp>
        <stp>EST</stp>
        <tr r="AL27" s="1"/>
      </tp>
      <tp t="b">
        <v>0</v>
        <stp/>
        <stp>BBDC4_B_0</stp>
        <stp>DAT</stp>
        <tr r="B12" s="1"/>
      </tp>
      <tp t="b">
        <v>0</v>
        <stp/>
        <stp>GOAU4_B_0</stp>
        <stp>VINT</stp>
        <tr r="AX28" s="1"/>
      </tp>
      <tp t="b">
        <v>0</v>
        <stp/>
        <stp>MRVE3_B_0</stp>
        <stp>VEN</stp>
        <tr r="AI11" s="1"/>
      </tp>
      <tp t="b">
        <v>0</v>
        <stp/>
        <stp>ITUB4_B_0</stp>
        <stp>ULT</stp>
        <tr r="D18" s="1"/>
      </tp>
      <tp t="b">
        <v>0</v>
        <stp/>
        <stp>MGLU3_B_0</stp>
        <stp>VINT</stp>
        <tr r="AX17" s="1"/>
      </tp>
      <tp t="b">
        <v>0</v>
        <stp/>
        <stp>MRVE3_B_0</stp>
        <stp>VIB</stp>
        <tr r="AU11" s="1"/>
      </tp>
      <tp t="b">
        <v>0</v>
        <stp/>
        <stp>MRVE3_B_0</stp>
        <stp>VIA</stp>
        <tr r="AT11" s="1"/>
      </tp>
      <tp t="b">
        <v>0</v>
        <stp/>
        <stp>CYRE3_B_0</stp>
        <stp>RHO</stp>
        <tr r="AR5" s="1"/>
      </tp>
      <tp t="b">
        <v>0</v>
        <stp/>
        <stp>MRVE3_B_0</stp>
        <stp>VOV</stp>
        <tr r="U11" s="1"/>
      </tp>
      <tp t="b">
        <v>0</v>
        <stp/>
        <stp>MRVE3_B_0</stp>
        <stp>VOC</stp>
        <tr r="T11" s="1"/>
      </tp>
      <tp t="b">
        <v>0</v>
        <stp/>
        <stp>MRVE3_B_0</stp>
        <stp>VOL</stp>
        <tr r="Q11" s="1"/>
      </tp>
      <tp t="b">
        <v>0</v>
        <stp/>
        <stp>IBOV_B_0</stp>
        <stp>FEC</stp>
        <tr r="H23" s="1"/>
      </tp>
      <tp t="b">
        <v>0</v>
        <stp/>
        <stp>LREN3_B_0</stp>
        <stp>TRIM</stp>
        <tr r="AG7" s="1"/>
      </tp>
      <tp t="b">
        <v>0</v>
        <stp/>
        <stp>IBOV_B_0</stp>
        <stp>TRIM</stp>
        <tr r="AG23" s="1"/>
      </tp>
      <tp t="b">
        <v>0</v>
        <stp/>
        <stp>CMIG4_B_0</stp>
        <stp>DOBRAR</stp>
        <tr r="AV20" s="1"/>
      </tp>
      <tp t="b">
        <v>0</v>
        <stp/>
        <stp>GOAU4_B_0</stp>
        <stp>VARPTS</stp>
        <tr r="K28" s="1"/>
      </tp>
      <tp t="b">
        <v>0</v>
        <stp/>
        <stp>EMBR3_B_0</stp>
        <stp>DOBRAR</stp>
        <tr r="AV2" s="1"/>
      </tp>
      <tp t="b">
        <v>0</v>
        <stp/>
        <stp>ABEV3_B_0</stp>
        <stp>DAT</stp>
        <tr r="B27" s="1"/>
      </tp>
      <tp t="b">
        <v>0</v>
        <stp/>
        <stp>ECOR3_B_0</stp>
        <stp>NEG</stp>
        <tr r="N9" s="1"/>
      </tp>
      <tp t="b">
        <v>0</v>
        <stp/>
        <stp>RENT3_B_0</stp>
        <stp>OCP</stp>
        <tr r="R13" s="1"/>
      </tp>
      <tp t="b">
        <v>0</v>
        <stp/>
        <stp>CSNA3_B_0</stp>
        <stp>OVD</stp>
        <tr r="S6" s="1"/>
      </tp>
      <tp t="b">
        <v>0</v>
        <stp/>
        <stp>MGLU3_B_0</stp>
        <stp>MAX</stp>
        <tr r="F17" s="1"/>
      </tp>
      <tp t="b">
        <v>0</v>
        <stp/>
        <stp>VIVT3_B_0</stp>
        <stp>VINT</stp>
        <tr r="AX3" s="1"/>
      </tp>
      <tp t="b">
        <v>0</v>
        <stp/>
        <stp>GGBR4_B_0</stp>
        <stp>CAB</stp>
        <tr r="AK26" s="1"/>
      </tp>
      <tp t="b">
        <v>0</v>
        <stp/>
        <stp>EMBR3_B_0</stp>
        <stp>CAB</stp>
        <tr r="AK2" s="1"/>
      </tp>
      <tp t="b">
        <v>0</v>
        <stp/>
        <stp>MGLU3_B_0</stp>
        <stp>MES</stp>
        <tr r="AB17" s="1"/>
      </tp>
      <tp t="b">
        <v>0</v>
        <stp/>
        <stp>BBDC4_B_0</stp>
        <stp>EST</stp>
        <tr r="AL12" s="1"/>
      </tp>
      <tp t="b">
        <v>0</v>
        <stp/>
        <stp>MGLU3_B_0</stp>
        <stp>MED</stp>
        <tr r="L17" s="1"/>
      </tp>
      <tp t="b">
        <v>0</v>
        <stp/>
        <stp>WINFUT_F_0</stp>
        <stp>ABE</stp>
        <tr r="E3" s="2"/>
      </tp>
      <tp t="b">
        <v>0</v>
        <stp/>
        <stp>WDOFUT_F_0</stp>
        <stp>ABE</stp>
        <tr r="E2" s="2"/>
      </tp>
      <tp t="b">
        <v>0</v>
        <stp/>
        <stp>RENT3_B_0</stp>
        <stp>VINT</stp>
        <tr r="AX13" s="1"/>
      </tp>
      <tp t="b">
        <v>0</v>
        <stp/>
        <stp>GGBR4_B_0</stp>
        <stp>IMPVT</stp>
        <tr r="AN26" s="1"/>
      </tp>
      <tp t="b">
        <v>0</v>
        <stp/>
        <stp>PETR4_B_0</stp>
        <stp>ULT</stp>
        <tr r="D22" s="1"/>
      </tp>
      <tp t="b">
        <v>0</v>
        <stp/>
        <stp>PETR3_B_0</stp>
        <stp>ULT</stp>
        <tr r="D30" s="1"/>
      </tp>
      <tp t="b">
        <v>0</v>
        <stp/>
        <stp>MGLU3_B_0</stp>
        <stp>MIN</stp>
        <tr r="G17" s="1"/>
      </tp>
      <tp t="b">
        <v>0</v>
        <stp/>
        <stp>WDOFUT_F_0</stp>
        <stp>ANO</stp>
        <tr r="AF2" s="2"/>
      </tp>
      <tp t="b">
        <v>0</v>
        <stp/>
        <stp>WINFUT_F_0</stp>
        <stp>ANO</stp>
        <tr r="AF3" s="2"/>
      </tp>
      <tp t="b">
        <v>0</v>
        <stp/>
        <stp>WINFUT_F_0</stp>
        <stp>AJA</stp>
        <tr r="W3" s="2"/>
      </tp>
      <tp t="b">
        <v>0</v>
        <stp/>
        <stp>WDOFUT_F_0</stp>
        <stp>AJA</stp>
        <tr r="W2" s="2"/>
      </tp>
      <tp t="b">
        <v>0</v>
        <stp/>
        <stp>WINFUT_F_0</stp>
        <stp>AJU</stp>
        <tr r="V3" s="2"/>
      </tp>
      <tp t="b">
        <v>0</v>
        <stp/>
        <stp>WDOFUT_F_0</stp>
        <stp>AJU</stp>
        <tr r="V2" s="2"/>
      </tp>
      <tp t="b">
        <v>0</v>
        <stp/>
        <stp>GOAU4_B_0</stp>
        <stp>IMPVT</stp>
        <tr r="AN28" s="1"/>
      </tp>
      <tp t="b">
        <v>0</v>
        <stp/>
        <stp>INDFUT_F_0</stp>
        <stp>AJA</stp>
        <tr r="W25" s="1"/>
      </tp>
      <tp t="b">
        <v>0</v>
        <stp/>
        <stp>INDFUT_F_0</stp>
        <stp>AJU</stp>
        <tr r="V25" s="1"/>
      </tp>
      <tp t="b">
        <v>0</v>
        <stp/>
        <stp>BITFUT_F_0</stp>
        <stp>ABE</stp>
        <tr r="E4" s="2"/>
      </tp>
      <tp t="b">
        <v>0</v>
        <stp/>
        <stp>VALE3_B_0</stp>
        <stp>MAX</stp>
        <tr r="F16" s="1"/>
      </tp>
      <tp t="b">
        <v>0</v>
        <stp/>
        <stp>CSNA3_B_0</stp>
        <stp>OCP</stp>
        <tr r="R6" s="1"/>
      </tp>
      <tp t="b">
        <v>0</v>
        <stp/>
        <stp>RENT3_B_0</stp>
        <stp>OVD</stp>
        <tr r="S13" s="1"/>
      </tp>
      <tp t="b">
        <v>0</v>
        <stp/>
        <stp>USIM5_B_0</stp>
        <stp>HOR</stp>
        <tr r="C24" s="1"/>
      </tp>
      <tp t="b">
        <v>0</v>
        <stp/>
        <stp>INDFUT_F_0</stp>
        <stp>ANO</stp>
        <tr r="AF25" s="1"/>
      </tp>
      <tp t="b">
        <v>0</v>
        <stp/>
        <stp>VALE3_B_0</stp>
        <stp>MED</stp>
        <tr r="L16" s="1"/>
      </tp>
      <tp t="b">
        <v>0</v>
        <stp/>
        <stp>CYRE3_B_0</stp>
        <stp>SEM</stp>
        <tr r="AA5" s="1"/>
      </tp>
      <tp t="b">
        <v>0</v>
        <stp/>
        <stp>VALE3_B_0</stp>
        <stp>MES</stp>
        <tr r="AB16" s="1"/>
      </tp>
      <tp t="b">
        <v>0</v>
        <stp/>
        <stp>INDFUT_F_0</stp>
        <stp>ABE</stp>
        <tr r="E25" s="1"/>
      </tp>
      <tp t="b">
        <v>0</v>
        <stp/>
        <stp>LREN3_B_0</stp>
        <stp>DAT</stp>
        <tr r="B7" s="1"/>
      </tp>
      <tp t="b">
        <v>0</v>
        <stp/>
        <stp>BITFUT_F_0</stp>
        <stp>AJA</stp>
        <tr r="W4" s="2"/>
      </tp>
      <tp t="b">
        <v>0</v>
        <stp/>
        <stp>BITFUT_F_0</stp>
        <stp>AJU</stp>
        <tr r="V4" s="2"/>
      </tp>
      <tp t="b">
        <v>0</v>
        <stp/>
        <stp>VALE3_B_0</stp>
        <stp>MIN</stp>
        <tr r="G16" s="1"/>
      </tp>
      <tp t="b">
        <v>0</v>
        <stp/>
        <stp>CIEL3_B_0</stp>
        <stp>DAT</stp>
        <tr r="B8" s="1"/>
      </tp>
      <tp t="b">
        <v>0</v>
        <stp/>
        <stp>VIVT3_B_0</stp>
        <stp>VIVH</stp>
        <tr r="AW3" s="1"/>
      </tp>
      <tp t="b">
        <v>0</v>
        <stp/>
        <stp>BITFUT_F_0</stp>
        <stp>ANO</stp>
        <tr r="AF4" s="2"/>
      </tp>
      <tp t="b">
        <v>0</v>
        <stp/>
        <stp>CMIG4_B_0</stp>
        <stp>HOR</stp>
        <tr r="C20" s="1"/>
      </tp>
      <tp t="b">
        <v>0</v>
        <stp/>
        <stp>GFSA3_B_0</stp>
        <stp>RHO</stp>
        <tr r="AR10" s="1"/>
      </tp>
      <tp t="b">
        <v>0</v>
        <stp/>
        <stp>B3SA3_B_0</stp>
        <stp>RHO</stp>
        <tr r="AR29" s="1"/>
      </tp>
      <tp t="b">
        <v>0</v>
        <stp/>
        <stp>RENT3_B_0</stp>
        <stp>VIVH</stp>
        <tr r="AW13" s="1"/>
      </tp>
      <tp t="b">
        <v>0</v>
        <stp/>
        <stp>ITSA4_B_0</stp>
        <stp>RHO</stp>
        <tr r="AR4" s="1"/>
      </tp>
      <tp t="b">
        <v>0</v>
        <stp/>
        <stp>WDOFUT_F_0</stp>
        <stp>VINT</stp>
        <tr r="AX2" s="2"/>
      </tp>
      <tp t="b">
        <v>0</v>
        <stp/>
        <stp>WINFUT_F_0</stp>
        <stp>VINT</stp>
        <tr r="AX3" s="2"/>
      </tp>
      <tp t="b">
        <v>0</v>
        <stp/>
        <stp>WINFUT_F_0</stp>
        <stp>VIVH</stp>
        <tr r="AW3" s="2"/>
      </tp>
      <tp t="b">
        <v>0</v>
        <stp/>
        <stp>WDOFUT_F_0</stp>
        <stp>VIVH</stp>
        <tr r="AW2" s="2"/>
      </tp>
      <tp t="b">
        <v>0</v>
        <stp/>
        <stp>WINFUT_F_0</stp>
        <stp>FEC</stp>
        <tr r="H3" s="2"/>
      </tp>
      <tp t="b">
        <v>0</v>
        <stp/>
        <stp>WDOFUT_F_0</stp>
        <stp>FEC</stp>
        <tr r="H2" s="2"/>
      </tp>
      <tp t="b">
        <v>0</v>
        <stp/>
        <stp>MRVE3_B_0</stp>
        <stp>PRT</stp>
        <tr r="X11" s="1"/>
      </tp>
      <tp t="b">
        <v>0</v>
        <stp/>
        <stp>ABEV3_B_0</stp>
        <stp>CAB</stp>
        <tr r="AK27" s="1"/>
      </tp>
      <tp t="b">
        <v>0</v>
        <stp/>
        <stp>EMBR3_B_0</stp>
        <stp>DAT</stp>
        <tr r="B2" s="1"/>
      </tp>
      <tp t="b">
        <v>0</v>
        <stp/>
        <stp>GGBR4_B_0</stp>
        <stp>DAT</stp>
        <tr r="B26" s="1"/>
      </tp>
      <tp t="b">
        <v>0</v>
        <stp/>
        <stp>GFSA3_B_0</stp>
        <stp>IMPVT</stp>
        <tr r="AN10" s="1"/>
      </tp>
      <tp t="b">
        <v>0</v>
        <stp/>
        <stp>VIVT3_B_0</stp>
        <stp>PEX</stp>
        <tr r="I3" s="1"/>
      </tp>
      <tp t="b">
        <v>0</v>
        <stp/>
        <stp>CMIG4_B_0</stp>
        <stp>OVD</stp>
        <tr r="S20" s="1"/>
      </tp>
      <tp t="b">
        <v>0</v>
        <stp/>
        <stp>RENT3_B_0</stp>
        <stp>THETA</stp>
        <tr r="AQ13" s="1"/>
      </tp>
      <tp t="b">
        <v>0</v>
        <stp/>
        <stp>PETR4_B_0</stp>
        <stp>RHO</stp>
        <tr r="AR22" s="1"/>
      </tp>
      <tp t="b">
        <v>0</v>
        <stp/>
        <stp>PETR3_B_0</stp>
        <stp>RHO</stp>
        <tr r="AR30" s="1"/>
      </tp>
      <tp t="b">
        <v>0</v>
        <stp/>
        <stp>USIM5_B_0</stp>
        <stp>OVD</stp>
        <tr r="S24" s="1"/>
      </tp>
      <tp t="b">
        <v>0</v>
        <stp/>
        <stp>RENT3_B_0</stp>
        <stp>HOR</stp>
        <tr r="C13" s="1"/>
      </tp>
      <tp t="b">
        <v>0</v>
        <stp/>
        <stp>BRFS3_B_0</stp>
        <stp>VIVH</stp>
        <tr r="AW21" s="1"/>
      </tp>
      <tp t="b">
        <v>0</v>
        <stp/>
        <stp>BBAS3_B_0</stp>
        <stp>VIVH</stp>
        <tr r="AW15" s="1"/>
      </tp>
      <tp t="b">
        <v>0</v>
        <stp/>
        <stp>VIVT3_B_0</stp>
        <stp>PRT</stp>
        <tr r="X3" s="1"/>
      </tp>
      <tp t="b">
        <v>0</v>
        <stp/>
        <stp>ITUB4_B_0</stp>
        <stp>SEM</stp>
        <tr r="AA18" s="1"/>
      </tp>
      <tp t="b">
        <v>0</v>
        <stp/>
        <stp>CMIG4_B_0</stp>
        <stp>OCP</stp>
        <tr r="R20" s="1"/>
      </tp>
      <tp t="b">
        <v>0</v>
        <stp/>
        <stp>VALE3_B_0</stp>
        <stp>BLACK</stp>
        <tr r="AM16" s="1"/>
      </tp>
      <tp t="b">
        <v>0</v>
        <stp/>
        <stp>BITFUT_F_0</stp>
        <stp>FEC</stp>
        <tr r="H4" s="2"/>
      </tp>
      <tp t="b">
        <v>0</v>
        <stp/>
        <stp>MRVE3_B_0</stp>
        <stp>PEX</stp>
        <tr r="I11" s="1"/>
      </tp>
      <tp t="b">
        <v>0</v>
        <stp/>
        <stp>BBAS3_B_0</stp>
        <stp>VINT</stp>
        <tr r="AX15" s="1"/>
      </tp>
      <tp t="b">
        <v>0</v>
        <stp/>
        <stp>BRFS3_B_0</stp>
        <stp>VINT</stp>
        <tr r="AX21" s="1"/>
      </tp>
      <tp t="b">
        <v>0</v>
        <stp/>
        <stp>CSNA3_B_0</stp>
        <stp>HOR</stp>
        <tr r="C6" s="1"/>
      </tp>
      <tp t="b">
        <v>0</v>
        <stp/>
        <stp>USIM5_B_0</stp>
        <stp>OCP</stp>
        <tr r="R24" s="1"/>
      </tp>
      <tp t="b">
        <v>0</v>
        <stp/>
        <stp>LREN3_B_0</stp>
        <stp>CAB</stp>
        <tr r="AK7" s="1"/>
      </tp>
      <tp t="b">
        <v>0</v>
        <stp/>
        <stp>ITSA4_B_0</stp>
        <stp>ULT</stp>
        <tr r="D4" s="1"/>
      </tp>
      <tp t="b">
        <v>0</v>
        <stp/>
        <stp>GFSA3_B_0</stp>
        <stp>ULT</stp>
        <tr r="D10" s="1"/>
      </tp>
      <tp t="b">
        <v>0</v>
        <stp/>
        <stp>B3SA3_B_0</stp>
        <stp>ULT</stp>
        <tr r="D29" s="1"/>
      </tp>
      <tp t="b">
        <v>0</v>
        <stp/>
        <stp>CIEL3_B_0</stp>
        <stp>CAB</stp>
        <tr r="AK8" s="1"/>
      </tp>
      <tp t="b">
        <v>0</v>
        <stp/>
        <stp>VIVT3_B_0</stp>
        <stp>BLACK</stp>
        <tr r="AM3" s="1"/>
      </tp>
      <tp t="b">
        <v>0</v>
        <stp/>
        <stp>INDFUT_F_0</stp>
        <stp>FEC</stp>
        <tr r="H25" s="1"/>
      </tp>
      <tp t="b">
        <v>0</v>
        <stp/>
        <stp>IBOV_B_0</stp>
        <stp>6M</stp>
        <tr r="AD23" s="1"/>
      </tp>
      <tp t="b">
        <v>0</v>
        <stp/>
        <stp>IBOV_B_0</stp>
        <stp>67</stp>
        <tr r="AZ23" s="1"/>
      </tp>
      <tp t="b">
        <v>0</v>
        <stp/>
        <stp>IBOV_B_0</stp>
        <stp>3M</stp>
        <tr r="AC23" s="1"/>
      </tp>
      <tp t="b">
        <v>0</v>
        <stp/>
        <stp>CIEL3_B_0</stp>
        <stp>VARPTS</stp>
        <tr r="K8" s="1"/>
      </tp>
      <tp t="b">
        <v>0</v>
        <stp/>
        <stp>WDOFUT_F_0</stp>
        <stp>DOBRAR</stp>
        <tr r="AV2" s="2"/>
      </tp>
      <tp t="b">
        <v>0</v>
        <stp/>
        <stp>VIVT3_B_0</stp>
        <stp>VARPTS</stp>
        <tr r="K3" s="1"/>
      </tp>
      <tp t="b">
        <v>0</v>
        <stp/>
        <stp>BBAS3_B_0</stp>
        <stp>FEC</stp>
        <tr r="H15" s="1"/>
      </tp>
      <tp t="b">
        <v>0</v>
        <stp/>
        <stp>PETR4_B_0</stp>
        <stp>SEM</stp>
        <tr r="AA22" s="1"/>
      </tp>
      <tp t="b">
        <v>0</v>
        <stp/>
        <stp>PETR3_B_0</stp>
        <stp>SEM</stp>
        <tr r="AA30" s="1"/>
      </tp>
      <tp t="b">
        <v>0</v>
        <stp/>
        <stp>PETR4_B_0</stp>
        <stp>VINT</stp>
        <tr r="AX22" s="1"/>
      </tp>
      <tp t="b">
        <v>0</v>
        <stp/>
        <stp>BRAP4_B_0</stp>
        <stp>FEC</stp>
        <tr r="H14" s="1"/>
      </tp>
      <tp t="b">
        <v>0</v>
        <stp/>
        <stp>PETR3_B_0</stp>
        <stp>VINT</stp>
        <tr r="AX30" s="1"/>
      </tp>
      <tp t="b">
        <v>0</v>
        <stp/>
        <stp>GOAU4_B_0</stp>
        <stp>FEC</stp>
        <tr r="H28" s="1"/>
      </tp>
      <tp t="b">
        <v>0</v>
        <stp/>
        <stp>MRVE3_B_0</stp>
        <stp>QUL</stp>
        <tr r="O11" s="1"/>
      </tp>
      <tp t="b">
        <v>0</v>
        <stp/>
        <stp>MRVE3_B_0</stp>
        <stp>QTT</stp>
        <tr r="P11" s="1"/>
      </tp>
      <tp t="b">
        <v>0</v>
        <stp/>
        <stp>MRVE3_B_0</stp>
        <stp>QTE</stp>
        <tr r="Y11" s="1"/>
      </tp>
      <tp t="b">
        <v>0</v>
        <stp/>
        <stp>BRFS3_B_0</stp>
        <stp>ABE</stp>
        <tr r="E21" s="1"/>
      </tp>
      <tp t="b">
        <v>0</v>
        <stp/>
        <stp>EMBR3_B_0</stp>
        <stp>VIVH</stp>
        <tr r="AW2" s="1"/>
      </tp>
      <tp t="b">
        <v>0</v>
        <stp/>
        <stp>ECOR3_B_0</stp>
        <stp>VIVH</stp>
        <tr r="AW9" s="1"/>
      </tp>
      <tp t="b">
        <v>0</v>
        <stp/>
        <stp>ECOR3_B_0</stp>
        <stp>HOR</stp>
        <tr r="C9" s="1"/>
      </tp>
      <tp t="b">
        <v>0</v>
        <stp/>
        <stp>BRFS3_B_0</stp>
        <stp>ANO</stp>
        <tr r="AF21" s="1"/>
      </tp>
      <tp t="b">
        <v>0</v>
        <stp/>
        <stp>GGBR4_B_0</stp>
        <stp>VIVH</stp>
        <tr r="AW26" s="1"/>
      </tp>
      <tp t="b">
        <v>0</v>
        <stp/>
        <stp>BRFS3_B_0</stp>
        <stp>AJU</stp>
        <tr r="V21" s="1"/>
      </tp>
      <tp t="b">
        <v>0</v>
        <stp/>
        <stp>BRFS3_B_0</stp>
        <stp>AJA</stp>
        <tr r="W21" s="1"/>
      </tp>
      <tp t="b">
        <v>0</v>
        <stp/>
        <stp>ECOR3_B_0</stp>
        <stp>VINT</stp>
        <tr r="AX9" s="1"/>
      </tp>
      <tp t="b">
        <v>0</v>
        <stp/>
        <stp>EMBR3_B_0</stp>
        <stp>VINT</stp>
        <tr r="AX2" s="1"/>
      </tp>
      <tp t="b">
        <v>0</v>
        <stp/>
        <stp>PETR4_B_0</stp>
        <stp>BLACK</stp>
        <tr r="AM22" s="1"/>
      </tp>
      <tp t="b">
        <v>0</v>
        <stp/>
        <stp>USIM5_B_0</stp>
        <stp>THETA</stp>
        <tr r="AQ24" s="1"/>
      </tp>
      <tp t="b">
        <v>0</v>
        <stp/>
        <stp>IBOV_B_0</stp>
        <stp>AJA</stp>
        <tr r="W23" s="1"/>
      </tp>
      <tp t="b">
        <v>0</v>
        <stp/>
        <stp>IBOV_B_0</stp>
        <stp>AJU</stp>
        <tr r="V23" s="1"/>
      </tp>
      <tp t="b">
        <v>0</v>
        <stp/>
        <stp>CMIG4_B_0</stp>
        <stp>NEG</stp>
        <tr r="N20" s="1"/>
      </tp>
      <tp t="b">
        <v>0</v>
        <stp/>
        <stp>BBDC4_B_0</stp>
        <stp>CAB</stp>
        <tr r="AK12" s="1"/>
      </tp>
      <tp t="b">
        <v>0</v>
        <stp/>
        <stp>GGBR4_B_0</stp>
        <stp>VINT</stp>
        <tr r="AX26" s="1"/>
      </tp>
      <tp t="b">
        <v>0</v>
        <stp/>
        <stp>VIVT3_B_0</stp>
        <stp>QTE</stp>
        <tr r="Y3" s="1"/>
      </tp>
      <tp t="b">
        <v>0</v>
        <stp/>
        <stp>VIVT3_B_0</stp>
        <stp>QTT</stp>
        <tr r="P3" s="1"/>
      </tp>
      <tp t="b">
        <v>0</v>
        <stp/>
        <stp>IBOV_B_0</stp>
        <stp>ANO</stp>
        <tr r="AF23" s="1"/>
      </tp>
      <tp t="b">
        <v>0</v>
        <stp/>
        <stp>VIVT3_B_0</stp>
        <stp>QUL</stp>
        <tr r="O3" s="1"/>
      </tp>
      <tp t="b">
        <v>0</v>
        <stp/>
        <stp>EMBR3_B_0</stp>
        <stp>EST</stp>
        <tr r="AL2" s="1"/>
      </tp>
      <tp t="b">
        <v>0</v>
        <stp/>
        <stp>GGBR4_B_0</stp>
        <stp>EST</stp>
        <tr r="AL26" s="1"/>
      </tp>
      <tp t="b">
        <v>0</v>
        <stp/>
        <stp>SUZB3_B_0</stp>
        <stp>THETA</stp>
        <tr r="AQ19" s="1"/>
      </tp>
      <tp t="b">
        <v>0</v>
        <stp/>
        <stp>PETR4_B_0</stp>
        <stp>VIVH</stp>
        <tr r="AW22" s="1"/>
      </tp>
      <tp t="b">
        <v>0</v>
        <stp/>
        <stp>IBOV_B_0</stp>
        <stp>ABE</stp>
        <tr r="E23" s="1"/>
      </tp>
      <tp t="b">
        <v>0</v>
        <stp/>
        <stp>ITUB4_B_0</stp>
        <stp>RHO</stp>
        <tr r="AR18" s="1"/>
      </tp>
      <tp t="b">
        <v>0</v>
        <stp/>
        <stp>PETR3_B_0</stp>
        <stp>VIVH</stp>
        <tr r="AW30" s="1"/>
      </tp>
      <tp t="b">
        <v>0</v>
        <stp/>
        <stp>USIM5_B_0</stp>
        <stp>NEG</stp>
        <tr r="N24" s="1"/>
      </tp>
      <tp t="b">
        <v>0</v>
        <stp/>
        <stp>CYRE3_B_0</stp>
        <stp>ULT</stp>
        <tr r="D5" s="1"/>
      </tp>
      <tp t="b">
        <v>0</v>
        <stp/>
        <stp>WINFUT_F_0</stp>
        <stp>DOBRAR</stp>
        <tr r="AV3" s="2"/>
      </tp>
      <tp t="b">
        <v>0</v>
        <stp/>
        <stp>ITUB4_B_0</stp>
        <stp>QTT</stp>
        <tr r="P18" s="1"/>
      </tp>
      <tp t="b">
        <v>0</v>
        <stp/>
        <stp>ITUB4_B_0</stp>
        <stp>QTE</stp>
        <tr r="Y18" s="1"/>
      </tp>
      <tp t="b">
        <v>0</v>
        <stp/>
        <stp>PETR3_B_0</stp>
        <stp>PEX</stp>
        <tr r="I30" s="1"/>
      </tp>
      <tp t="b">
        <v>0</v>
        <stp/>
        <stp>PETR4_B_0</stp>
        <stp>PEX</stp>
        <tr r="I22" s="1"/>
      </tp>
      <tp t="b">
        <v>0</v>
        <stp/>
        <stp>GGBR4_B_0</stp>
        <stp>FEC</stp>
        <tr r="H26" s="1"/>
      </tp>
      <tp t="b">
        <v>0</v>
        <stp/>
        <stp>ITUB4_B_0</stp>
        <stp>QUL</stp>
        <tr r="O18" s="1"/>
      </tp>
      <tp t="b">
        <v>0</v>
        <stp/>
        <stp>EMBR3_B_0</stp>
        <stp>FEC</stp>
        <tr r="H2" s="1"/>
      </tp>
      <tp t="b">
        <v>0</v>
        <stp/>
        <stp>ABEV3_B_0</stp>
        <stp>ABE</stp>
        <tr r="E27" s="1"/>
      </tp>
      <tp t="b">
        <v>0</v>
        <stp/>
        <stp>BBDC4_B_0</stp>
        <stp>IMPVT</stp>
        <tr r="AN12" s="1"/>
      </tp>
      <tp t="b">
        <v>0</v>
        <stp/>
        <stp>CYRE3_B_0</stp>
        <stp>VPJ</stp>
        <tr r="Z5" s="1"/>
      </tp>
      <tp t="b">
        <v>0</v>
        <stp/>
        <stp>ECOR3_B_0</stp>
        <stp>IMPVT</stp>
        <tr r="AN9" s="1"/>
      </tp>
      <tp t="b">
        <v>0</v>
        <stp/>
        <stp>WINFUT_F_0</stp>
        <stp>DAT</stp>
        <tr r="B3" s="2"/>
      </tp>
      <tp t="b">
        <v>0</v>
        <stp/>
        <stp>WDOFUT_F_0</stp>
        <stp>DAT</stp>
        <tr r="B2" s="2"/>
      </tp>
      <tp t="b">
        <v>0</v>
        <stp/>
        <stp>PETR3_B_0</stp>
        <stp>THETA</stp>
        <tr r="AQ30" s="1"/>
      </tp>
      <tp t="b">
        <v>0</v>
        <stp/>
        <stp>VIVT3_B_0</stp>
        <stp>RHO</stp>
        <tr r="AR3" s="1"/>
      </tp>
      <tp t="b">
        <v>0</v>
        <stp/>
        <stp>ABEV3_B_0</stp>
        <stp>AJU</stp>
        <tr r="V27" s="1"/>
      </tp>
      <tp t="b">
        <v>0</v>
        <stp/>
        <stp>ABEV3_B_0</stp>
        <stp>AJA</stp>
        <tr r="W27" s="1"/>
      </tp>
      <tp t="b">
        <v>0</v>
        <stp/>
        <stp>MGLU3_B_0</stp>
        <stp>HOR</stp>
        <tr r="C17" s="1"/>
      </tp>
      <tp t="b">
        <v>0</v>
        <stp/>
        <stp>EMBR3_B_0</stp>
        <stp>IMPVT</stp>
        <tr r="AN2" s="1"/>
      </tp>
      <tp t="b">
        <v>0</v>
        <stp/>
        <stp>ABEV3_B_0</stp>
        <stp>ANO</stp>
        <tr r="AF27" s="1"/>
      </tp>
      <tp t="b">
        <v>0</v>
        <stp/>
        <stp>CMIG4_B_0</stp>
        <stp>MAX</stp>
        <tr r="F20" s="1"/>
      </tp>
      <tp t="b">
        <v>0</v>
        <stp/>
        <stp>CIEL3_B_0</stp>
        <stp>AJU</stp>
        <tr r="V8" s="1"/>
      </tp>
      <tp t="b">
        <v>0</v>
        <stp/>
        <stp>GOAU4_B_0</stp>
        <stp>EST</stp>
        <tr r="AL28" s="1"/>
      </tp>
      <tp t="b">
        <v>0</v>
        <stp/>
        <stp>CIEL3_B_0</stp>
        <stp>AJA</stp>
        <tr r="W8" s="1"/>
      </tp>
      <tp t="b">
        <v>0</v>
        <stp/>
        <stp>BITFUT_F_0</stp>
        <stp>DAT</stp>
        <tr r="B4" s="2"/>
      </tp>
      <tp t="b">
        <v>0</v>
        <stp/>
        <stp>LREN3_B_0</stp>
        <stp>AJU</stp>
        <tr r="V7" s="1"/>
      </tp>
      <tp t="b">
        <v>0</v>
        <stp/>
        <stp>USIM5_B_0</stp>
        <stp>MIN</stp>
        <tr r="G24" s="1"/>
      </tp>
      <tp t="b">
        <v>0</v>
        <stp/>
        <stp>CYRE3_B_0</stp>
        <stp>VAR</stp>
        <tr r="J5" s="1"/>
      </tp>
      <tp t="b">
        <v>0</v>
        <stp/>
        <stp>CYRE3_B_0</stp>
        <stp>VAL</stp>
        <tr r="AJ5" s="1"/>
      </tp>
      <tp t="b">
        <v>0</v>
        <stp/>
        <stp>LREN3_B_0</stp>
        <stp>AJA</stp>
        <tr r="W7" s="1"/>
      </tp>
      <tp t="b">
        <v>0</v>
        <stp/>
        <stp>BRAP4_B_0</stp>
        <stp>IMPVT</stp>
        <tr r="AN14" s="1"/>
      </tp>
      <tp t="b">
        <v>0</v>
        <stp/>
        <stp>CMIG4_B_0</stp>
        <stp>MES</stp>
        <tr r="AB20" s="1"/>
      </tp>
      <tp t="b">
        <v>0</v>
        <stp/>
        <stp>CIEL3_B_0</stp>
        <stp>ANO</stp>
        <tr r="AF8" s="1"/>
      </tp>
      <tp t="b">
        <v>0</v>
        <stp/>
        <stp>CMIG4_B_0</stp>
        <stp>MED</stp>
        <tr r="L20" s="1"/>
      </tp>
      <tp t="b">
        <v>0</v>
        <stp/>
        <stp>BRAP4_B_0</stp>
        <stp>EST</stp>
        <tr r="AL14" s="1"/>
      </tp>
      <tp t="b">
        <v>0</v>
        <stp/>
        <stp>BBAS3_B_0</stp>
        <stp>EST</stp>
        <tr r="AL15" s="1"/>
      </tp>
      <tp t="b">
        <v>0</v>
        <stp/>
        <stp>CYRE3_B_0</stp>
        <stp>VEN</stp>
        <tr r="AI5" s="1"/>
      </tp>
      <tp t="b">
        <v>0</v>
        <stp/>
        <stp>LREN3_B_0</stp>
        <stp>ANO</stp>
        <tr r="AF7" s="1"/>
      </tp>
      <tp t="b">
        <v>0</v>
        <stp/>
        <stp>PETR4_B_0</stp>
        <stp>PRT</stp>
        <tr r="X22" s="1"/>
      </tp>
      <tp t="b">
        <v>0</v>
        <stp/>
        <stp>PETR3_B_0</stp>
        <stp>PRT</stp>
        <tr r="X30" s="1"/>
      </tp>
      <tp t="b">
        <v>0</v>
        <stp/>
        <stp>CMIG4_B_0</stp>
        <stp>MIN</stp>
        <tr r="G20" s="1"/>
      </tp>
      <tp t="b">
        <v>0</v>
        <stp/>
        <stp>CIEL3_B_0</stp>
        <stp>ABE</stp>
        <tr r="E8" s="1"/>
      </tp>
      <tp t="b">
        <v>0</v>
        <stp/>
        <stp>INDFUT_F_0</stp>
        <stp>DAT</stp>
        <tr r="B25" s="1"/>
      </tp>
      <tp t="b">
        <v>0</v>
        <stp/>
        <stp>USIM5_B_0</stp>
        <stp>MAX</stp>
        <tr r="F24" s="1"/>
      </tp>
      <tp t="b">
        <v>0</v>
        <stp/>
        <stp>LREN3_B_0</stp>
        <stp>ABE</stp>
        <tr r="E7" s="1"/>
      </tp>
      <tp t="b">
        <v>0</v>
        <stp/>
        <stp>CYRE3_B_0</stp>
        <stp>VIA</stp>
        <tr r="AT5" s="1"/>
      </tp>
      <tp t="b">
        <v>0</v>
        <stp/>
        <stp>CYRE3_B_0</stp>
        <stp>VIB</stp>
        <tr r="AU5" s="1"/>
      </tp>
      <tp t="b">
        <v>0</v>
        <stp/>
        <stp>MRVE3_B_0</stp>
        <stp>RHO</stp>
        <tr r="AR11" s="1"/>
      </tp>
      <tp t="b">
        <v>0</v>
        <stp/>
        <stp>CYRE3_B_0</stp>
        <stp>VOV</stp>
        <tr r="U5" s="1"/>
      </tp>
      <tp t="b">
        <v>0</v>
        <stp/>
        <stp>CYRE3_B_0</stp>
        <stp>VOL</stp>
        <tr r="Q5" s="1"/>
      </tp>
      <tp t="b">
        <v>0</v>
        <stp/>
        <stp>CYRE3_B_0</stp>
        <stp>VOC</stp>
        <tr r="T5" s="1"/>
      </tp>
      <tp t="b">
        <v>0</v>
        <stp/>
        <stp>VALE3_B_0</stp>
        <stp>HOR</stp>
        <tr r="C16" s="1"/>
      </tp>
      <tp t="b">
        <v>0</v>
        <stp/>
        <stp>USIM5_B_0</stp>
        <stp>MED</stp>
        <tr r="L24" s="1"/>
      </tp>
      <tp t="b">
        <v>0</v>
        <stp/>
        <stp>USIM5_B_0</stp>
        <stp>MES</stp>
        <tr r="AB24" s="1"/>
      </tp>
      <tp t="b">
        <v>0</v>
        <stp/>
        <stp>WDOFUT_F_0</stp>
        <stp>VARPTS</stp>
        <tr r="K2" s="2"/>
      </tp>
      <tp t="b">
        <v>0</v>
        <stp/>
        <stp>CIEL3_B_0</stp>
        <stp>DOBRAR</stp>
        <tr r="AV8" s="1"/>
      </tp>
      <tp t="b">
        <v>0</v>
        <stp/>
        <stp>VIVT3_B_0</stp>
        <stp>DOBRAR</stp>
        <tr r="AV3" s="1"/>
      </tp>
      <tp t="b">
        <v>0</v>
        <stp/>
        <stp>GOAU4_B_0</stp>
        <stp>DAT</stp>
        <tr r="B28" s="1"/>
      </tp>
      <tp t="b">
        <v>0</v>
        <stp/>
        <stp>BITFUT_F_0</stp>
        <stp>EST</stp>
        <tr r="AL4" s="2"/>
      </tp>
      <tp t="b">
        <v>0</v>
        <stp/>
        <stp>BBAS3_B_0</stp>
        <stp>DAT</stp>
        <tr r="B15" s="1"/>
      </tp>
      <tp t="b">
        <v>0</v>
        <stp/>
        <stp>BRFS3_B_0</stp>
        <stp>CAB</stp>
        <tr r="AK21" s="1"/>
      </tp>
      <tp t="b">
        <v>0</v>
        <stp/>
        <stp>ITUB4_B_0</stp>
        <stp>PRT</stp>
        <tr r="X18" s="1"/>
      </tp>
      <tp t="b">
        <v>0</v>
        <stp/>
        <stp>VIVT3_B_0</stp>
        <stp>SEM</stp>
        <tr r="AA3" s="1"/>
      </tp>
      <tp t="b">
        <v>0</v>
        <stp/>
        <stp>BRAP4_B_0</stp>
        <stp>DAT</stp>
        <tr r="B14" s="1"/>
      </tp>
      <tp t="b">
        <v>0</v>
        <stp/>
        <stp>B3SA3_B_0</stp>
        <stp>VPJ</stp>
        <tr r="Z29" s="1"/>
      </tp>
      <tp t="b">
        <v>0</v>
        <stp/>
        <stp>GFSA3_B_0</stp>
        <stp>VPJ</stp>
        <tr r="Z10" s="1"/>
      </tp>
      <tp t="b">
        <v>0</v>
        <stp/>
        <stp>ITSA4_B_0</stp>
        <stp>VPJ</stp>
        <tr r="Z4" s="1"/>
      </tp>
      <tp t="b">
        <v>0</v>
        <stp/>
        <stp>INDFUT_F_0</stp>
        <stp>EST</stp>
        <tr r="AL25" s="1"/>
      </tp>
      <tp t="b">
        <v>0</v>
        <stp/>
        <stp>BRAP4_B_0</stp>
        <stp>VIVH</stp>
        <tr r="AW14" s="1"/>
      </tp>
      <tp t="b">
        <v>0</v>
        <stp/>
        <stp>CMIG4_B_0</stp>
        <stp>IMPVT</stp>
        <tr r="AN20" s="1"/>
      </tp>
      <tp t="b">
        <v>0</v>
        <stp/>
        <stp>PETR4_B_0</stp>
        <stp>QTE</stp>
        <tr r="Y22" s="1"/>
      </tp>
      <tp t="b">
        <v>0</v>
        <stp/>
        <stp>PETR3_B_0</stp>
        <stp>QTE</stp>
        <tr r="Y30" s="1"/>
      </tp>
      <tp t="b">
        <v>0</v>
        <stp/>
        <stp>BRAP4_B_0</stp>
        <stp>VINT</stp>
        <tr r="AX14" s="1"/>
      </tp>
      <tp t="b">
        <v>0</v>
        <stp/>
        <stp>PETR4_B_0</stp>
        <stp>QTT</stp>
        <tr r="P22" s="1"/>
      </tp>
      <tp t="b">
        <v>0</v>
        <stp/>
        <stp>PETR3_B_0</stp>
        <stp>QTT</stp>
        <tr r="P30" s="1"/>
      </tp>
      <tp t="b">
        <v>0</v>
        <stp/>
        <stp>PETR4_B_0</stp>
        <stp>QUL</stp>
        <tr r="O22" s="1"/>
      </tp>
      <tp t="b">
        <v>0</v>
        <stp/>
        <stp>PETR3_B_0</stp>
        <stp>QUL</stp>
        <tr r="O30" s="1"/>
      </tp>
      <tp t="b">
        <v>0</v>
        <stp/>
        <stp>ITUB4_B_0</stp>
        <stp>PEX</stp>
        <tr r="I18" s="1"/>
      </tp>
      <tp t="b">
        <v>0</v>
        <stp/>
        <stp>GFSA3_B_0</stp>
        <stp>VEN</stp>
        <tr r="AI10" s="1"/>
      </tp>
      <tp t="b">
        <v>0</v>
        <stp/>
        <stp>B3SA3_B_0</stp>
        <stp>VEN</stp>
        <tr r="AI29" s="1"/>
      </tp>
      <tp t="b">
        <v>0</v>
        <stp/>
        <stp>ITSA4_B_0</stp>
        <stp>VEN</stp>
        <tr r="AI4" s="1"/>
      </tp>
      <tp t="b">
        <v>0</v>
        <stp/>
        <stp>WINFUT_F_0</stp>
        <stp>EST</stp>
        <tr r="AL3" s="2"/>
      </tp>
      <tp t="b">
        <v>0</v>
        <stp/>
        <stp>WDOFUT_F_0</stp>
        <stp>EST</stp>
        <tr r="AL2" s="2"/>
      </tp>
      <tp t="b">
        <v>0</v>
        <stp/>
        <stp>ITSA4_B_0</stp>
        <stp>VAR</stp>
        <tr r="J4" s="1"/>
      </tp>
      <tp t="b">
        <v>0</v>
        <stp/>
        <stp>B3SA3_B_0</stp>
        <stp>VAR</stp>
        <tr r="J29" s="1"/>
      </tp>
      <tp t="b">
        <v>0</v>
        <stp/>
        <stp>GFSA3_B_0</stp>
        <stp>VAR</stp>
        <tr r="J10" s="1"/>
      </tp>
      <tp t="b">
        <v>0</v>
        <stp/>
        <stp>GFSA3_B_0</stp>
        <stp>VAL</stp>
        <tr r="AJ10" s="1"/>
      </tp>
      <tp t="b">
        <v>0</v>
        <stp/>
        <stp>B3SA3_B_0</stp>
        <stp>VAL</stp>
        <tr r="AJ29" s="1"/>
      </tp>
      <tp t="b">
        <v>0</v>
        <stp/>
        <stp>ITSA4_B_0</stp>
        <stp>VAL</stp>
        <tr r="AJ4" s="1"/>
      </tp>
      <tp t="b">
        <v>0</v>
        <stp/>
        <stp>MRVE3_B_0</stp>
        <stp>SEM</stp>
        <tr r="AA11" s="1"/>
      </tp>
      <tp t="b">
        <v>0</v>
        <stp/>
        <stp>BBDC4_B_0</stp>
        <stp>ABE</stp>
        <tr r="E12" s="1"/>
      </tp>
      <tp t="b">
        <v>0</v>
        <stp/>
        <stp>ITSA4_B_0</stp>
        <stp>VOV</stp>
        <tr r="U4" s="1"/>
      </tp>
      <tp t="b">
        <v>0</v>
        <stp/>
        <stp>GFSA3_B_0</stp>
        <stp>VOV</stp>
        <tr r="U10" s="1"/>
      </tp>
      <tp t="b">
        <v>0</v>
        <stp/>
        <stp>B3SA3_B_0</stp>
        <stp>VOV</stp>
        <tr r="U29" s="1"/>
      </tp>
      <tp t="b">
        <v>0</v>
        <stp/>
        <stp>GFSA3_B_0</stp>
        <stp>VOL</stp>
        <tr r="Q10" s="1"/>
      </tp>
      <tp t="b">
        <v>0</v>
        <stp/>
        <stp>B3SA3_B_0</stp>
        <stp>VOL</stp>
        <tr r="Q29" s="1"/>
      </tp>
      <tp t="b">
        <v>0</v>
        <stp/>
        <stp>ITSA4_B_0</stp>
        <stp>VOC</stp>
        <tr r="T4" s="1"/>
      </tp>
      <tp t="b">
        <v>0</v>
        <stp/>
        <stp>ITSA4_B_0</stp>
        <stp>VOL</stp>
        <tr r="Q4" s="1"/>
      </tp>
      <tp t="b">
        <v>0</v>
        <stp/>
        <stp>B3SA3_B_0</stp>
        <stp>VOC</stp>
        <tr r="T29" s="1"/>
      </tp>
      <tp t="b">
        <v>0</v>
        <stp/>
        <stp>GFSA3_B_0</stp>
        <stp>VOC</stp>
        <tr r="T10" s="1"/>
      </tp>
      <tp t="b">
        <v>0</v>
        <stp/>
        <stp>IBOV_B_0</stp>
        <stp>CAB</stp>
        <tr r="AK23" s="1"/>
      </tp>
      <tp t="b">
        <v>0</v>
        <stp/>
        <stp>BBDC4_B_0</stp>
        <stp>ANO</stp>
        <tr r="AF12" s="1"/>
      </tp>
      <tp t="b">
        <v>0</v>
        <stp/>
        <stp>ITSA4_B_0</stp>
        <stp>VIA</stp>
        <tr r="AT4" s="1"/>
      </tp>
      <tp t="b">
        <v>0</v>
        <stp/>
        <stp>ITSA4_B_0</stp>
        <stp>VIB</stp>
        <tr r="AU4" s="1"/>
      </tp>
      <tp t="b">
        <v>0</v>
        <stp/>
        <stp>B3SA3_B_0</stp>
        <stp>VIA</stp>
        <tr r="AT29" s="1"/>
      </tp>
      <tp t="b">
        <v>0</v>
        <stp/>
        <stp>B3SA3_B_0</stp>
        <stp>VIB</stp>
        <tr r="AU29" s="1"/>
      </tp>
      <tp t="b">
        <v>0</v>
        <stp/>
        <stp>GFSA3_B_0</stp>
        <stp>VIA</stp>
        <tr r="AT10" s="1"/>
      </tp>
      <tp t="b">
        <v>0</v>
        <stp/>
        <stp>GFSA3_B_0</stp>
        <stp>VIB</stp>
        <tr r="AU10" s="1"/>
      </tp>
      <tp t="b">
        <v>0</v>
        <stp/>
        <stp>BBDC4_B_0</stp>
        <stp>AJU</stp>
        <tr r="V12" s="1"/>
      </tp>
      <tp t="b">
        <v>0</v>
        <stp/>
        <stp>BBDC4_B_0</stp>
        <stp>AJA</stp>
        <tr r="W12" s="1"/>
      </tp>
      <tp t="b">
        <v>0</v>
        <stp/>
        <stp>WINFUT_F_0</stp>
        <stp>VARPTS</stp>
        <tr r="K3" s="2"/>
      </tp>
      <tp t="b">
        <v>0</v>
        <stp/>
        <stp>RENT3_B_0</stp>
        <stp>TRIM</stp>
        <tr r="AG13" s="1"/>
      </tp>
      <tp t="b">
        <v>0</v>
        <stp/>
        <stp>PETR4_B_0</stp>
        <stp>NEG</stp>
        <tr r="N22" s="1"/>
      </tp>
      <tp t="b">
        <v>0</v>
        <stp/>
        <stp>PETR3_B_0</stp>
        <stp>NEG</stp>
        <tr r="N30" s="1"/>
      </tp>
      <tp t="b">
        <v>0</v>
        <stp/>
        <stp>MGLU3_B_0</stp>
        <stp>VAR</stp>
        <tr r="J17" s="1"/>
      </tp>
      <tp t="b">
        <v>0</v>
        <stp/>
        <stp>ITUB4_B_0</stp>
        <stp>OVD</stp>
        <tr r="S18" s="1"/>
      </tp>
      <tp t="b">
        <v>0</v>
        <stp/>
        <stp>MGLU3_B_0</stp>
        <stp>VAL</stp>
        <tr r="AJ17" s="1"/>
      </tp>
      <tp t="b">
        <v>0</v>
        <stp/>
        <stp>VALE3_B_0</stp>
        <stp>VPJ</stp>
        <tr r="Z16" s="1"/>
      </tp>
      <tp t="b">
        <v>0</v>
        <stp/>
        <stp>VIVT3_B_0</stp>
        <stp>TRIM</stp>
        <tr r="AG3" s="1"/>
      </tp>
      <tp t="b">
        <v>0</v>
        <stp/>
        <stp>GFSA3_B_0</stp>
        <stp>DELTA</stp>
        <tr r="AO10" s="1"/>
      </tp>
      <tp t="b">
        <v>0</v>
        <stp/>
        <stp>BBDC4_B_0</stp>
        <stp>VEXT</stp>
        <tr r="AY12" s="1"/>
      </tp>
      <tp t="b">
        <v>0</v>
        <stp/>
        <stp>MGLU3_B_0</stp>
        <stp>VEN</stp>
        <tr r="AI17" s="1"/>
      </tp>
      <tp t="b">
        <v>0</v>
        <stp/>
        <stp>ECOR3_B_0</stp>
        <stp>ULT</stp>
        <tr r="D9" s="1"/>
      </tp>
      <tp t="b">
        <v>0</v>
        <stp/>
        <stp>MGLU3_B_0</stp>
        <stp>VIB</stp>
        <tr r="AU17" s="1"/>
      </tp>
      <tp t="b">
        <v>0</v>
        <stp/>
        <stp>MGLU3_B_0</stp>
        <stp>VIA</stp>
        <tr r="AT17" s="1"/>
      </tp>
      <tp t="b">
        <v>0</v>
        <stp/>
        <stp>MGLU3_B_0</stp>
        <stp>VOV</stp>
        <tr r="U17" s="1"/>
      </tp>
      <tp t="b">
        <v>0</v>
        <stp/>
        <stp>MGLU3_B_0</stp>
        <stp>VOC</stp>
        <tr r="T17" s="1"/>
      </tp>
      <tp t="b">
        <v>0</v>
        <stp/>
        <stp>MGLU3_B_0</stp>
        <stp>VOL</stp>
        <tr r="Q17" s="1"/>
      </tp>
      <tp t="b">
        <v>0</v>
        <stp/>
        <stp>VALE3_B_0</stp>
        <stp>VAL</stp>
        <tr r="AJ16" s="1"/>
      </tp>
      <tp t="b">
        <v>0</v>
        <stp/>
        <stp>CMIG4_B_0</stp>
        <stp>GAMA</stp>
        <tr r="AP20" s="1"/>
      </tp>
      <tp t="b">
        <v>0</v>
        <stp/>
        <stp>VALE3_B_0</stp>
        <stp>VAR</stp>
        <tr r="J16" s="1"/>
      </tp>
      <tp t="b">
        <v>0</v>
        <stp/>
        <stp>MGLU3_B_0</stp>
        <stp>VPJ</stp>
        <tr r="Z17" s="1"/>
      </tp>
      <tp t="b">
        <v>0</v>
        <stp/>
        <stp>CMIG4_B_0</stp>
        <stp>SEM</stp>
        <tr r="AA20" s="1"/>
      </tp>
      <tp t="b">
        <v>0</v>
        <stp/>
        <stp>VALE3_B_0</stp>
        <stp>VEN</stp>
        <tr r="AI16" s="1"/>
      </tp>
      <tp t="b">
        <v>0</v>
        <stp/>
        <stp>ITUB4_B_0</stp>
        <stp>THETA</stp>
        <tr r="AQ18" s="1"/>
      </tp>
      <tp t="b">
        <v>0</v>
        <stp/>
        <stp>ITSA4_B_0</stp>
        <stp>THETA</stp>
        <tr r="AQ4" s="1"/>
      </tp>
      <tp t="b">
        <v>0</v>
        <stp/>
        <stp>ITUB4_B_0</stp>
        <stp>OCP</stp>
        <tr r="R18" s="1"/>
      </tp>
      <tp t="b">
        <v>0</v>
        <stp/>
        <stp>BBDC4_B_0</stp>
        <stp>VEGA</stp>
        <tr r="AS12" s="1"/>
      </tp>
      <tp t="b">
        <v>0</v>
        <stp/>
        <stp>VALE3_B_0</stp>
        <stp>VIA</stp>
        <tr r="AT16" s="1"/>
      </tp>
      <tp t="b">
        <v>0</v>
        <stp/>
        <stp>VALE3_B_0</stp>
        <stp>VIB</stp>
        <tr r="AU16" s="1"/>
      </tp>
      <tp t="b">
        <v>0</v>
        <stp/>
        <stp>VALE3_B_0</stp>
        <stp>VOL</stp>
        <tr r="Q16" s="1"/>
      </tp>
      <tp t="b">
        <v>0</v>
        <stp/>
        <stp>CYRE3_B_0</stp>
        <stp>HOR</stp>
        <tr r="C5" s="1"/>
      </tp>
      <tp t="b">
        <v>0</v>
        <stp/>
        <stp>VALE3_B_0</stp>
        <stp>VOC</stp>
        <tr r="T16" s="1"/>
      </tp>
      <tp t="b">
        <v>0</v>
        <stp/>
        <stp>VALE3_B_0</stp>
        <stp>VOV</stp>
        <tr r="U16" s="1"/>
      </tp>
      <tp t="b">
        <v>0</v>
        <stp/>
        <stp>USIM5_B_0</stp>
        <stp>SEM</stp>
        <tr r="AA24" s="1"/>
      </tp>
      <tp t="b">
        <v>0</v>
        <stp/>
        <stp>SUZB3_B_0</stp>
        <stp>VARPTS</stp>
        <tr r="K19" s="1"/>
      </tp>
      <tp t="b">
        <v>0</v>
        <stp/>
        <stp>BITFUT_F_0</stp>
        <stp>GAMA</stp>
        <tr r="AP4" s="2"/>
      </tp>
      <tp t="b">
        <v>0</v>
        <stp/>
        <stp>LREN3_B_0</stp>
        <stp>VIVH</stp>
        <tr r="AW7" s="1"/>
      </tp>
      <tp t="b">
        <v>0</v>
        <stp/>
        <stp>VIVT3_B_0</stp>
        <stp>MAX</stp>
        <tr r="F3" s="1"/>
      </tp>
      <tp t="b">
        <v>0</v>
        <stp/>
        <stp>VIVT3_B_0</stp>
        <stp>MED</stp>
        <tr r="L3" s="1"/>
      </tp>
      <tp t="b">
        <v>0</v>
        <stp/>
        <stp>PETR3_B_0</stp>
        <stp>OCP</stp>
        <tr r="R30" s="1"/>
      </tp>
      <tp t="b">
        <v>0</v>
        <stp/>
        <stp>PETR4_B_0</stp>
        <stp>OCP</stp>
        <tr r="R22" s="1"/>
      </tp>
      <tp t="b">
        <v>0</v>
        <stp/>
        <stp>VIVT3_B_0</stp>
        <stp>MES</stp>
        <tr r="AB3" s="1"/>
      </tp>
      <tp t="b">
        <v>0</v>
        <stp/>
        <stp>VIVT3_B_0</stp>
        <stp>MIN</stp>
        <tr r="G3" s="1"/>
      </tp>
      <tp t="b">
        <v>0</v>
        <stp/>
        <stp>ITUB4_B_0</stp>
        <stp>VEXT</stp>
        <tr r="AY18" s="1"/>
      </tp>
      <tp t="b">
        <v>0</v>
        <stp/>
        <stp>RENT3_B_0</stp>
        <stp>ULT</stp>
        <tr r="D13" s="1"/>
      </tp>
      <tp t="b">
        <v>0</v>
        <stp/>
        <stp>SUZB3_B_0</stp>
        <stp>VEGA</stp>
        <tr r="AS19" s="1"/>
      </tp>
      <tp t="b">
        <v>0</v>
        <stp/>
        <stp>SUZB3_B_0</stp>
        <stp>VEXT</stp>
        <tr r="AY19" s="1"/>
      </tp>
      <tp t="b">
        <v>0</v>
        <stp/>
        <stp>ITUB4_B_0</stp>
        <stp>NEG</stp>
        <tr r="N18" s="1"/>
      </tp>
      <tp t="b">
        <v>0</v>
        <stp/>
        <stp>ITUB4_B_0</stp>
        <stp>VEGA</stp>
        <tr r="AS18" s="1"/>
      </tp>
      <tp t="b">
        <v>0</v>
        <stp/>
        <stp>PETR4_B_0</stp>
        <stp>OVD</stp>
        <tr r="S22" s="1"/>
      </tp>
      <tp t="b">
        <v>0</v>
        <stp/>
        <stp>MRVE3_B_0</stp>
        <stp>MAX</stp>
        <tr r="F11" s="1"/>
      </tp>
      <tp t="b">
        <v>0</v>
        <stp/>
        <stp>PETR3_B_0</stp>
        <stp>OVD</stp>
        <tr r="S30" s="1"/>
      </tp>
      <tp t="b">
        <v>0</v>
        <stp/>
        <stp>GOAU4_B_0</stp>
        <stp>TRIM</stp>
        <tr r="AG28" s="1"/>
      </tp>
      <tp t="b">
        <v>0</v>
        <stp/>
        <stp>USIM5_B_0</stp>
        <stp>RHO</stp>
        <tr r="AR24" s="1"/>
      </tp>
      <tp t="b">
        <v>0</v>
        <stp/>
        <stp>GFSA3_B_0</stp>
        <stp>SEMES</stp>
        <tr r="AH10" s="1"/>
      </tp>
      <tp t="b">
        <v>0</v>
        <stp/>
        <stp>MRVE3_B_0</stp>
        <stp>MES</stp>
        <tr r="AB11" s="1"/>
      </tp>
      <tp t="b">
        <v>0</v>
        <stp/>
        <stp>SUZB3_B_0</stp>
        <stp>ABE</stp>
        <tr r="E19" s="1"/>
      </tp>
      <tp t="b">
        <v>0</v>
        <stp/>
        <stp>MRVE3_B_0</stp>
        <stp>MED</stp>
        <tr r="L11" s="1"/>
      </tp>
      <tp t="b">
        <v>0</v>
        <stp/>
        <stp>ITSA4_B_0</stp>
        <stp>HOR</stp>
        <tr r="C4" s="1"/>
      </tp>
      <tp t="b">
        <v>0</v>
        <stp/>
        <stp>B3SA3_B_0</stp>
        <stp>HOR</stp>
        <tr r="C29" s="1"/>
      </tp>
      <tp t="b">
        <v>0</v>
        <stp/>
        <stp>GFSA3_B_0</stp>
        <stp>HOR</stp>
        <tr r="C10" s="1"/>
      </tp>
      <tp t="b">
        <v>0</v>
        <stp/>
        <stp>CMIG4_B_0</stp>
        <stp>RHO</stp>
        <tr r="AR20" s="1"/>
      </tp>
      <tp t="b">
        <v>0</v>
        <stp/>
        <stp>LREN3_B_0</stp>
        <stp>VINT</stp>
        <tr r="AX7" s="1"/>
      </tp>
      <tp t="b">
        <v>0</v>
        <stp/>
        <stp>SUZB3_B_0</stp>
        <stp>ANO</stp>
        <tr r="AF19" s="1"/>
      </tp>
      <tp t="b">
        <v>0</v>
        <stp/>
        <stp>MRVE3_B_0</stp>
        <stp>MIN</stp>
        <tr r="G11" s="1"/>
      </tp>
      <tp t="b">
        <v>0</v>
        <stp/>
        <stp>CSNA3_B_0</stp>
        <stp>ULT</stp>
        <tr r="D6" s="1"/>
      </tp>
      <tp t="b">
        <v>0</v>
        <stp/>
        <stp>SUZB3_B_0</stp>
        <stp>AJA</stp>
        <tr r="W19" s="1"/>
      </tp>
      <tp t="b">
        <v>0</v>
        <stp/>
        <stp>SUZB3_B_0</stp>
        <stp>AJU</stp>
        <tr r="V19" s="1"/>
      </tp>
      <tp t="b">
        <v>0</v>
        <stp/>
        <stp>MGLU3_B_0</stp>
        <stp>TRIM</stp>
        <tr r="AG17" s="1"/>
      </tp>
      <tp t="b">
        <v>0</v>
        <stp/>
        <stp>IBOV_B_0</stp>
        <stp>VINT</stp>
        <tr r="AX23" s="1"/>
      </tp>
      <tp t="b">
        <v>0</v>
        <stp/>
        <stp>IBOV_B_0</stp>
        <stp>VIVH</stp>
        <tr r="AW23" s="1"/>
      </tp>
      <tp t="b">
        <v>0</v>
        <stp/>
        <stp>ITSA4_B_0</stp>
        <stp>VARPTS</stp>
        <tr r="K4" s="1"/>
      </tp>
      <tp t="b">
        <v>0</v>
        <stp/>
        <stp>ITUB4_B_0</stp>
        <stp>VARPTS</stp>
        <tr r="K18" s="1"/>
      </tp>
      <tp t="b">
        <v>0</v>
        <stp/>
        <stp>INDFUT_F_0</stp>
        <stp>VINT</stp>
        <tr r="AX25" s="1"/>
      </tp>
      <tp t="b">
        <v>0</v>
        <stp/>
        <stp>INDFUT_F_0</stp>
        <stp>VIVH</stp>
        <tr r="AW25" s="1"/>
      </tp>
      <tp t="b">
        <v>0</v>
        <stp/>
        <stp>CSNA3_B_0</stp>
        <stp>VEXT</stp>
        <tr r="AY6" s="1"/>
      </tp>
      <tp t="b">
        <v>0</v>
        <stp/>
        <stp>VALE3_B_0</stp>
        <stp>GAMA</stp>
        <tr r="AP16" s="1"/>
      </tp>
      <tp t="b">
        <v>0</v>
        <stp/>
        <stp>BBDC4_B_0</stp>
        <stp>DELTA</stp>
        <tr r="AO12" s="1"/>
      </tp>
      <tp t="b">
        <v>0</v>
        <stp/>
        <stp>B3SA3_B_0</stp>
        <stp>VEXT</stp>
        <tr r="AY29" s="1"/>
      </tp>
      <tp t="b">
        <v>0</v>
        <stp/>
        <stp>ECOR3_B_0</stp>
        <stp>DELTA</stp>
        <tr r="AO9" s="1"/>
      </tp>
      <tp t="b">
        <v>0</v>
        <stp/>
        <stp>RENT3_B_0</stp>
        <stp>VAL</stp>
        <tr r="AJ13" s="1"/>
      </tp>
      <tp t="b">
        <v>0</v>
        <stp/>
        <stp>RENT3_B_0</stp>
        <stp>VAR</stp>
        <tr r="J13" s="1"/>
      </tp>
      <tp t="b">
        <v>0</v>
        <stp/>
        <stp>GFSA3_B_0</stp>
        <stp>VEXT</stp>
        <tr r="AY10" s="1"/>
      </tp>
      <tp t="b">
        <v>0</v>
        <stp/>
        <stp>CMIG4_B_0</stp>
        <stp>QUL</stp>
        <tr r="O20" s="1"/>
      </tp>
      <tp t="b">
        <v>0</v>
        <stp/>
        <stp>CMIG4_B_0</stp>
        <stp>QTT</stp>
        <tr r="P20" s="1"/>
      </tp>
      <tp t="b">
        <v>0</v>
        <stp/>
        <stp>CMIG4_B_0</stp>
        <stp>QTE</stp>
        <tr r="Y20" s="1"/>
      </tp>
      <tp t="b">
        <v>0</v>
        <stp/>
        <stp>USIM5_B_0</stp>
        <stp>VINT</stp>
        <tr r="AX24" s="1"/>
      </tp>
      <tp t="b">
        <v>0</v>
        <stp/>
        <stp>RENT3_B_0</stp>
        <stp>VEN</stp>
        <tr r="AI13" s="1"/>
      </tp>
      <tp t="b">
        <v>0</v>
        <stp/>
        <stp>VIVT3_B_0</stp>
        <stp>NEG</stp>
        <tr r="N3" s="1"/>
      </tp>
      <tp t="b">
        <v>0</v>
        <stp/>
        <stp>CSNA3_B_0</stp>
        <stp>VPJ</stp>
        <tr r="Z6" s="1"/>
      </tp>
      <tp t="b">
        <v>0</v>
        <stp/>
        <stp>RENT3_B_0</stp>
        <stp>VIA</stp>
        <tr r="AT13" s="1"/>
      </tp>
      <tp t="b">
        <v>0</v>
        <stp/>
        <stp>RENT3_B_0</stp>
        <stp>VIB</stp>
        <tr r="AU13" s="1"/>
      </tp>
      <tp t="b">
        <v>0</v>
        <stp/>
        <stp>RENT3_B_0</stp>
        <stp>VOL</stp>
        <tr r="Q13" s="1"/>
      </tp>
      <tp t="b">
        <v>0</v>
        <stp/>
        <stp>RENT3_B_0</stp>
        <stp>VOC</stp>
        <tr r="T13" s="1"/>
      </tp>
      <tp t="b">
        <v>0</v>
        <stp/>
        <stp>ITSA4_B_0</stp>
        <stp>VEXT</stp>
        <tr r="AY4" s="1"/>
      </tp>
      <tp t="b">
        <v>0</v>
        <stp/>
        <stp>RENT3_B_0</stp>
        <stp>VOV</stp>
        <tr r="U13" s="1"/>
      </tp>
      <tp t="b">
        <v>0</v>
        <stp/>
        <stp>USIM5_B_0</stp>
        <stp>QUL</stp>
        <tr r="O24" s="1"/>
      </tp>
      <tp t="b">
        <v>0</v>
        <stp/>
        <stp>USIM5_B_0</stp>
        <stp>QTE</stp>
        <tr r="Y24" s="1"/>
      </tp>
      <tp t="b">
        <v>0</v>
        <stp/>
        <stp>USIM5_B_0</stp>
        <stp>QTT</stp>
        <tr r="P24" s="1"/>
      </tp>
      <tp t="b">
        <v>0</v>
        <stp/>
        <stp>EMBR3_B_0</stp>
        <stp>DELTA</stp>
        <tr r="AO2" s="1"/>
      </tp>
      <tp t="b">
        <v>0</v>
        <stp/>
        <stp>BRAP4_B_0</stp>
        <stp>DELTA</stp>
        <tr r="AO14" s="1"/>
      </tp>
      <tp t="b">
        <v>0</v>
        <stp/>
        <stp>LREN3_B_0</stp>
        <stp>THETA</stp>
        <tr r="AQ7" s="1"/>
      </tp>
      <tp t="b">
        <v>0</v>
        <stp/>
        <stp>ITUB4_B_0</stp>
        <stp>MES</stp>
        <tr r="AB18" s="1"/>
      </tp>
      <tp t="b">
        <v>0</v>
        <stp/>
        <stp>ITUB4_B_0</stp>
        <stp>MED</stp>
        <tr r="L18" s="1"/>
      </tp>
      <tp t="b">
        <v>0</v>
        <stp/>
        <stp>ITSA4_B_0</stp>
        <stp>VEGA</stp>
        <tr r="AS4" s="1"/>
      </tp>
      <tp t="b">
        <v>0</v>
        <stp/>
        <stp>RENT3_B_0</stp>
        <stp>VPJ</stp>
        <tr r="Z13" s="1"/>
      </tp>
      <tp t="b">
        <v>0</v>
        <stp/>
        <stp>CSNA3_B_0</stp>
        <stp>VEN</stp>
        <tr r="AI6" s="1"/>
      </tp>
      <tp t="b">
        <v>0</v>
        <stp/>
        <stp>ABEV3_B_0</stp>
        <stp>TRIM</stp>
        <tr r="AG27" s="1"/>
      </tp>
      <tp t="b">
        <v>0</v>
        <stp/>
        <stp>ITUB4_B_0</stp>
        <stp>MAX</stp>
        <tr r="F18" s="1"/>
      </tp>
      <tp t="b">
        <v>0</v>
        <stp/>
        <stp>CYRE3_B_0</stp>
        <stp>GAMA</stp>
        <tr r="AP5" s="1"/>
      </tp>
      <tp t="b">
        <v>0</v>
        <stp/>
        <stp>CSNA3_B_0</stp>
        <stp>VAR</stp>
        <tr r="J6" s="1"/>
      </tp>
      <tp t="b">
        <v>0</v>
        <stp/>
        <stp>MRVE3_B_0</stp>
        <stp>NEG</stp>
        <tr r="N11" s="1"/>
      </tp>
      <tp t="b">
        <v>0</v>
        <stp/>
        <stp>CSNA3_B_0</stp>
        <stp>VAL</stp>
        <tr r="AJ6" s="1"/>
      </tp>
      <tp t="b">
        <v>0</v>
        <stp/>
        <stp>CSNA3_B_0</stp>
        <stp>VOV</stp>
        <tr r="U6" s="1"/>
      </tp>
      <tp t="b">
        <v>0</v>
        <stp/>
        <stp>CSNA3_B_0</stp>
        <stp>VOL</stp>
        <tr r="Q6" s="1"/>
      </tp>
      <tp t="b">
        <v>0</v>
        <stp/>
        <stp>CSNA3_B_0</stp>
        <stp>VOC</stp>
        <tr r="T6" s="1"/>
      </tp>
      <tp t="b">
        <v>0</v>
        <stp/>
        <stp>MRVE3_B_0</stp>
        <stp>GAMA</stp>
        <tr r="AP11" s="1"/>
      </tp>
      <tp t="b">
        <v>0</v>
        <stp/>
        <stp>GFSA3_B_0</stp>
        <stp>VEGA</stp>
        <tr r="AS10" s="1"/>
      </tp>
      <tp t="b">
        <v>0</v>
        <stp/>
        <stp>ITUB4_B_0</stp>
        <stp>MIN</stp>
        <tr r="G18" s="1"/>
      </tp>
      <tp t="b">
        <v>0</v>
        <stp/>
        <stp>USIM5_B_0</stp>
        <stp>VIVH</stp>
        <tr r="AW24" s="1"/>
      </tp>
      <tp t="b">
        <v>0</v>
        <stp/>
        <stp>CSNA3_B_0</stp>
        <stp>VIA</stp>
        <tr r="AT6" s="1"/>
      </tp>
      <tp t="b">
        <v>0</v>
        <stp/>
        <stp>CSNA3_B_0</stp>
        <stp>VIB</stp>
        <tr r="AU6" s="1"/>
      </tp>
      <tp t="b">
        <v>0</v>
        <stp/>
        <stp>B3SA3_B_0</stp>
        <stp>VEGA</stp>
        <tr r="AS29" s="1"/>
      </tp>
      <tp t="b">
        <v>0</v>
        <stp/>
        <stp>CMIG4_B_0</stp>
        <stp>SEMES</stp>
        <tr r="AH20" s="1"/>
      </tp>
      <tp t="b">
        <v>0</v>
        <stp/>
        <stp>CSNA3_B_0</stp>
        <stp>VEGA</stp>
        <tr r="AS6" s="1"/>
      </tp>
      <tp t="b">
        <v>0</v>
        <stp/>
        <stp>SUZB3_B_0</stp>
        <stp>DOBRAR</stp>
        <tr r="AV19" s="1"/>
      </tp>
      <tp t="b">
        <v>0</v>
        <stp/>
        <stp>PETR4_B_0</stp>
        <stp>MED</stp>
        <tr r="L22" s="1"/>
      </tp>
      <tp t="b">
        <v>0</v>
        <stp/>
        <stp>PETR3_B_0</stp>
        <stp>MED</stp>
        <tr r="L30" s="1"/>
      </tp>
      <tp t="b">
        <v>0</v>
        <stp/>
        <stp>ECOR3_B_0</stp>
        <stp>VEN</stp>
        <tr r="AI9" s="1"/>
      </tp>
      <tp t="b">
        <v>0</v>
        <stp/>
        <stp>PETR3_B_0</stp>
        <stp>MES</stp>
        <tr r="AB30" s="1"/>
      </tp>
      <tp t="b">
        <v>0</v>
        <stp/>
        <stp>VIVT3_B_0</stp>
        <stp>OCP</stp>
        <tr r="R3" s="1"/>
      </tp>
      <tp t="b">
        <v>0</v>
        <stp/>
        <stp>PETR4_B_0</stp>
        <stp>MES</stp>
        <tr r="AB22" s="1"/>
      </tp>
      <tp t="b">
        <v>0</v>
        <stp/>
        <stp>BRAP4_B_0</stp>
        <stp>SEMES</stp>
        <tr r="AH14" s="1"/>
      </tp>
      <tp t="b">
        <v>0</v>
        <stp/>
        <stp>CMIG4_B_0</stp>
        <stp>PRT</stp>
        <tr r="X20" s="1"/>
      </tp>
      <tp t="b">
        <v>0</v>
        <stp/>
        <stp>ECOR3_B_0</stp>
        <stp>VAR</stp>
        <tr r="J9" s="1"/>
      </tp>
      <tp t="b">
        <v>0</v>
        <stp/>
        <stp>MRVE3_B_0</stp>
        <stp>OVD</stp>
        <tr r="S11" s="1"/>
      </tp>
      <tp t="b">
        <v>0</v>
        <stp/>
        <stp>ECOR3_B_0</stp>
        <stp>VAL</stp>
        <tr r="AJ9" s="1"/>
      </tp>
      <tp t="b">
        <v>0</v>
        <stp/>
        <stp>PETR3_B_0</stp>
        <stp>MAX</stp>
        <tr r="F30" s="1"/>
      </tp>
      <tp t="b">
        <v>0</v>
        <stp/>
        <stp>PETR4_B_0</stp>
        <stp>MAX</stp>
        <tr r="F22" s="1"/>
      </tp>
      <tp t="b">
        <v>0</v>
        <stp/>
        <stp>MGLU3_B_0</stp>
        <stp>THETA</stp>
        <tr r="AQ17" s="1"/>
      </tp>
      <tp t="b">
        <v>0</v>
        <stp/>
        <stp>USIM5_B_0</stp>
        <stp>PRT</stp>
        <tr r="X24" s="1"/>
      </tp>
      <tp t="b">
        <v>0</v>
        <stp/>
        <stp>ECOR3_B_0</stp>
        <stp>VOV</stp>
        <tr r="U9" s="1"/>
      </tp>
      <tp t="b">
        <v>0</v>
        <stp/>
        <stp>ECOR3_B_0</stp>
        <stp>VOL</stp>
        <tr r="Q9" s="1"/>
      </tp>
      <tp t="b">
        <v>0</v>
        <stp/>
        <stp>ECOR3_B_0</stp>
        <stp>VOC</stp>
        <tr r="T9" s="1"/>
      </tp>
      <tp t="b">
        <v>0</v>
        <stp/>
        <stp>PETR4_B_0</stp>
        <stp>MIN</stp>
        <tr r="G22" s="1"/>
      </tp>
      <tp t="b">
        <v>0</v>
        <stp/>
        <stp>PETR3_B_0</stp>
        <stp>MIN</stp>
        <tr r="G30" s="1"/>
      </tp>
      <tp t="b">
        <v>0</v>
        <stp/>
        <stp>ECOR3_B_0</stp>
        <stp>VIB</stp>
        <tr r="AU9" s="1"/>
      </tp>
      <tp t="b">
        <v>0</v>
        <stp/>
        <stp>ECOR3_B_0</stp>
        <stp>VIA</stp>
        <tr r="AT9" s="1"/>
      </tp>
      <tp t="b">
        <v>0</v>
        <stp/>
        <stp>CIEL3_B_0</stp>
        <stp>VIVH</stp>
        <tr r="AW8" s="1"/>
      </tp>
      <tp t="b">
        <v>0</v>
        <stp/>
        <stp>MGLU3_B_0</stp>
        <stp>ULT</stp>
        <tr r="D17" s="1"/>
      </tp>
      <tp t="b">
        <v>0</v>
        <stp/>
        <stp>CMIG4_B_0</stp>
        <stp>DELTA</stp>
        <tr r="AO20" s="1"/>
      </tp>
      <tp t="b">
        <v>0</v>
        <stp/>
        <stp>MRVE3_B_0</stp>
        <stp>OCP</stp>
        <tr r="R11" s="1"/>
      </tp>
      <tp t="b">
        <v>0</v>
        <stp/>
        <stp>ECOR3_B_0</stp>
        <stp>SEMES</stp>
        <tr r="AH9" s="1"/>
      </tp>
      <tp t="b">
        <v>0</v>
        <stp/>
        <stp>MRVE3_B_0</stp>
        <stp>THETA</stp>
        <tr r="AQ11" s="1"/>
      </tp>
      <tp t="b">
        <v>0</v>
        <stp/>
        <stp>BBDC4_B_0</stp>
        <stp>SEMES</stp>
        <tr r="AH12" s="1"/>
      </tp>
      <tp t="b">
        <v>0</v>
        <stp/>
        <stp>CMIG4_B_0</stp>
        <stp>PEX</stp>
        <tr r="I20" s="1"/>
      </tp>
      <tp t="b">
        <v>0</v>
        <stp/>
        <stp>VIVT3_B_0</stp>
        <stp>OVD</stp>
        <tr r="S3" s="1"/>
      </tp>
      <tp t="b">
        <v>0</v>
        <stp/>
        <stp>ECOR3_B_0</stp>
        <stp>VPJ</stp>
        <tr r="Z9" s="1"/>
      </tp>
      <tp t="b">
        <v>0</v>
        <stp/>
        <stp>SUZB3_B_0</stp>
        <stp>CAB</stp>
        <tr r="AK19" s="1"/>
      </tp>
      <tp t="b">
        <v>0</v>
        <stp/>
        <stp>CIEL3_B_0</stp>
        <stp>VINT</stp>
        <tr r="AX8" s="1"/>
      </tp>
      <tp t="b">
        <v>0</v>
        <stp/>
        <stp>USIM5_B_0</stp>
        <stp>PEX</stp>
        <tr r="I24" s="1"/>
      </tp>
      <tp t="b">
        <v>0</v>
        <stp/>
        <stp>EMBR3_B_0</stp>
        <stp>SEMES</stp>
        <tr r="AH2" s="1"/>
      </tp>
      <tp t="b">
        <v>0</v>
        <stp/>
        <stp>VALE3_B_0</stp>
        <stp>ULT</stp>
        <tr r="D16" s="1"/>
      </tp>
      <tp t="b">
        <v>0</v>
        <stp/>
        <stp>ITUB4_B_0</stp>
        <stp>DOBRAR</stp>
        <tr r="AV18" s="1"/>
      </tp>
      <tp t="b">
        <v>0</v>
        <stp/>
        <stp>ITSA4_B_0</stp>
        <stp>DOBRAR</stp>
        <tr r="AV4" s="1"/>
      </tp>
      <tp t="b">
        <v>0</v>
        <stp/>
        <stp>BRFS3_B_0</stp>
        <stp>SEMES</stp>
        <tr r="AH21" s="1"/>
      </tp>
      <tp t="b">
        <v>0</v>
        <stp/>
        <stp>ITSA4_B_0</stp>
        <stp>BLACK</stp>
        <tr r="AM4" s="1"/>
      </tp>
      <tp t="b">
        <v>0</v>
        <stp/>
        <stp>ITUB4_B_0</stp>
        <stp>BLACK</stp>
        <tr r="AM18" s="1"/>
      </tp>
      <tp t="b">
        <v>0</v>
        <stp/>
        <stp>CSNA3_B_0</stp>
        <stp>PRT</stp>
        <tr r="X6" s="1"/>
      </tp>
      <tp t="b">
        <v>0</v>
        <stp/>
        <stp>CMIG4_B_0</stp>
        <stp>VEXT</stp>
        <tr r="AY20" s="1"/>
      </tp>
      <tp t="b">
        <v>0</v>
        <stp/>
        <stp>RENT3_B_0</stp>
        <stp>PEX</stp>
        <tr r="I13" s="1"/>
      </tp>
      <tp t="b">
        <v>0</v>
        <stp/>
        <stp>MGLU3_B_0</stp>
        <stp>RHO</stp>
        <tr r="AR17" s="1"/>
      </tp>
      <tp t="b">
        <v>0</v>
        <stp/>
        <stp>CIEL3_B_0</stp>
        <stp>DELTA</stp>
        <tr r="AO8" s="1"/>
      </tp>
      <tp t="b">
        <v>0</v>
        <stp/>
        <stp>VIVT3_B_0</stp>
        <stp>HOR</stp>
        <tr r="C3" s="1"/>
      </tp>
      <tp t="b">
        <v>0</v>
        <stp/>
        <stp>ECOR3_B_0</stp>
        <stp>QTT</stp>
        <tr r="P9" s="1"/>
      </tp>
      <tp t="b">
        <v>0</v>
        <stp/>
        <stp>ECOR3_B_0</stp>
        <stp>QTE</stp>
        <tr r="Y9" s="1"/>
      </tp>
      <tp t="b">
        <v>0</v>
        <stp/>
        <stp>RENT3_B_0</stp>
        <stp>PRT</stp>
        <tr r="X13" s="1"/>
      </tp>
      <tp t="b">
        <v>0</v>
        <stp/>
        <stp>ECOR3_B_0</stp>
        <stp>QUL</stp>
        <tr r="O9" s="1"/>
      </tp>
      <tp t="b">
        <v>0</v>
        <stp/>
        <stp>CSNA3_B_0</stp>
        <stp>DELTA</stp>
        <tr r="AO6" s="1"/>
      </tp>
      <tp t="b">
        <v>0</v>
        <stp/>
        <stp>BBAS3_B_0</stp>
        <stp>SEMES</stp>
        <tr r="AH15" s="1"/>
      </tp>
      <tp t="b">
        <v>0</v>
        <stp/>
        <stp>CSNA3_B_0</stp>
        <stp>PEX</stp>
        <tr r="I6" s="1"/>
      </tp>
      <tp t="b">
        <v>0</v>
        <stp/>
        <stp>ITSA4_B_0</stp>
        <stp>MES</stp>
        <tr r="AB4" s="1"/>
      </tp>
      <tp t="b">
        <v>0</v>
        <stp/>
        <stp>B3SA3_B_0</stp>
        <stp>MES</stp>
        <tr r="AB29" s="1"/>
      </tp>
      <tp t="b">
        <v>0</v>
        <stp/>
        <stp>GFSA3_B_0</stp>
        <stp>MES</stp>
        <tr r="AB10" s="1"/>
      </tp>
      <tp t="b">
        <v>0</v>
        <stp/>
        <stp>ITSA4_B_0</stp>
        <stp>MED</stp>
        <tr r="L4" s="1"/>
      </tp>
      <tp t="b">
        <v>0</v>
        <stp/>
        <stp>GFSA3_B_0</stp>
        <stp>MED</stp>
        <tr r="L10" s="1"/>
      </tp>
      <tp t="b">
        <v>0</v>
        <stp/>
        <stp>B3SA3_B_0</stp>
        <stp>MED</stp>
        <tr r="L29" s="1"/>
      </tp>
      <tp t="b">
        <v>0</v>
        <stp/>
        <stp>BBDC4_B_0</stp>
        <stp>GAMA</stp>
        <tr r="AP12" s="1"/>
      </tp>
      <tp t="b">
        <v>0</v>
        <stp/>
        <stp>SUZB3_B_0</stp>
        <stp>DAT</stp>
        <tr r="B19" s="1"/>
      </tp>
      <tp t="b">
        <v>0</v>
        <stp/>
        <stp>B3SA3_B_0</stp>
        <stp>MAX</stp>
        <tr r="F29" s="1"/>
      </tp>
      <tp t="b">
        <v>0</v>
        <stp/>
        <stp>GFSA3_B_0</stp>
        <stp>MAX</stp>
        <tr r="F10" s="1"/>
      </tp>
      <tp t="b">
        <v>0</v>
        <stp/>
        <stp>ITSA4_B_0</stp>
        <stp>MAX</stp>
        <tr r="F4" s="1"/>
      </tp>
      <tp t="b">
        <v>0</v>
        <stp/>
        <stp>BRAP4_B_0</stp>
        <stp>TRIM</stp>
        <tr r="AG14" s="1"/>
      </tp>
      <tp t="b">
        <v>0</v>
        <stp/>
        <stp>CMIG4_B_0</stp>
        <stp>VEGA</stp>
        <tr r="AS20" s="1"/>
      </tp>
      <tp t="b">
        <v>0</v>
        <stp/>
        <stp>VALE3_B_0</stp>
        <stp>RHO</stp>
        <tr r="AR16" s="1"/>
      </tp>
      <tp t="b">
        <v>0</v>
        <stp/>
        <stp>CYRE3_B_0</stp>
        <stp>DELTA</stp>
        <tr r="AO5" s="1"/>
      </tp>
      <tp t="b">
        <v>0</v>
        <stp/>
        <stp>MRVE3_B_0</stp>
        <stp>HOR</stp>
        <tr r="C11" s="1"/>
      </tp>
      <tp t="b">
        <v>0</v>
        <stp/>
        <stp>GFSA3_B_0</stp>
        <stp>MIN</stp>
        <tr r="G10" s="1"/>
      </tp>
      <tp t="b">
        <v>0</v>
        <stp/>
        <stp>B3SA3_B_0</stp>
        <stp>MIN</stp>
        <tr r="G29" s="1"/>
      </tp>
      <tp t="b">
        <v>0</v>
        <stp/>
        <stp>ITSA4_B_0</stp>
        <stp>MIN</stp>
        <tr r="G4" s="1"/>
      </tp>
      <tp t="b">
        <v>0</v>
        <stp/>
        <stp>B3SA3_B_0</stp>
        <stp>SEMES</stp>
        <tr r="AH29" s="1"/>
      </tp>
      <tp t="b">
        <v>0</v>
        <stp/>
        <stp>CSNA3_B_0</stp>
        <stp>DOBRAR</stp>
        <tr r="AV6" s="1"/>
      </tp>
      <tp t="b">
        <v>0</v>
        <stp/>
        <stp>USIM5_B_0</stp>
        <stp>DOBRAR</stp>
        <tr r="AV24" s="1"/>
      </tp>
      <tp t="b">
        <v>0</v>
        <stp/>
        <stp>BITFUT_F_0</stp>
        <stp>VEGA</stp>
        <tr r="AS4" s="2"/>
      </tp>
      <tp t="b">
        <v>0</v>
        <stp/>
        <stp>BITFUT_F_0</stp>
        <stp>VEXT</stp>
        <tr r="AY4" s="2"/>
      </tp>
      <tp t="b">
        <v>0</v>
        <stp/>
        <stp>CSNA3_B_0</stp>
        <stp>SEMES</stp>
        <tr r="AH6" s="1"/>
      </tp>
      <tp t="b">
        <v>0</v>
        <stp/>
        <stp>BBAS3_B_0</stp>
        <stp>DELTA</stp>
        <tr r="AO15" s="1"/>
      </tp>
      <tp t="b">
        <v>0</v>
        <stp/>
        <stp>ECOR3_B_0</stp>
        <stp>PEX</stp>
        <tr r="I9" s="1"/>
      </tp>
      <tp t="b">
        <v>0</v>
        <stp/>
        <stp>CMIG4_B_0</stp>
        <stp>VPJ</stp>
        <tr r="Z20" s="1"/>
      </tp>
      <tp t="b">
        <v>0</v>
        <stp/>
        <stp>CSNA3_B_0</stp>
        <stp>QUL</stp>
        <tr r="O6" s="1"/>
      </tp>
      <tp t="b">
        <v>0</v>
        <stp/>
        <stp>CSNA3_B_0</stp>
        <stp>QTT</stp>
        <tr r="P6" s="1"/>
      </tp>
      <tp t="b">
        <v>0</v>
        <stp/>
        <stp>CSNA3_B_0</stp>
        <stp>QTE</stp>
        <tr r="Y6" s="1"/>
      </tp>
      <tp t="b">
        <v>0</v>
        <stp/>
        <stp>SUZB3_B_0</stp>
        <stp>GAMA</stp>
        <tr r="AP19" s="1"/>
      </tp>
      <tp t="b">
        <v>0</v>
        <stp/>
        <stp>MGLU3_B_0</stp>
        <stp>SEM</stp>
        <tr r="AA17" s="1"/>
      </tp>
      <tp t="b">
        <v>0</v>
        <stp/>
        <stp>SUZB3_B_0</stp>
        <stp>EST</stp>
        <tr r="AL19" s="1"/>
      </tp>
      <tp t="b">
        <v>0</v>
        <stp/>
        <stp>CYRE3_B_0</stp>
        <stp>SEMES</stp>
        <tr r="AH5" s="1"/>
      </tp>
      <tp t="b">
        <v>0</v>
        <stp/>
        <stp>USIM5_B_0</stp>
        <stp>VPJ</stp>
        <tr r="Z24" s="1"/>
      </tp>
      <tp t="b">
        <v>0</v>
        <stp/>
        <stp>CMIG4_B_0</stp>
        <stp>VAR</stp>
        <tr r="J20" s="1"/>
      </tp>
      <tp t="b">
        <v>0</v>
        <stp/>
        <stp>CMIG4_B_0</stp>
        <stp>VAL</stp>
        <tr r="AJ20" s="1"/>
      </tp>
      <tp t="b">
        <v>0</v>
        <stp/>
        <stp>BRFS3_B_0</stp>
        <stp>DELTA</stp>
        <tr r="AO21" s="1"/>
      </tp>
      <tp t="b">
        <v>0</v>
        <stp/>
        <stp>CYRE3_B_0</stp>
        <stp>MAX</stp>
        <tr r="F5" s="1"/>
      </tp>
      <tp t="b">
        <v>0</v>
        <stp/>
        <stp>USIM5_B_0</stp>
        <stp>VIA</stp>
        <tr r="AT24" s="1"/>
      </tp>
      <tp t="b">
        <v>0</v>
        <stp/>
        <stp>USIM5_B_0</stp>
        <stp>VIB</stp>
        <tr r="AU24" s="1"/>
      </tp>
      <tp t="b">
        <v>0</v>
        <stp/>
        <stp>USIM5_B_0</stp>
        <stp>VOL</stp>
        <tr r="Q24" s="1"/>
      </tp>
      <tp t="b">
        <v>0</v>
        <stp/>
        <stp>USIM5_B_0</stp>
        <stp>VOC</stp>
        <tr r="T24" s="1"/>
      </tp>
      <tp t="b">
        <v>0</v>
        <stp/>
        <stp>CMIG4_B_0</stp>
        <stp>VEN</stp>
        <tr r="AI20" s="1"/>
      </tp>
      <tp t="b">
        <v>0</v>
        <stp/>
        <stp>USIM5_B_0</stp>
        <stp>VOV</stp>
        <tr r="U24" s="1"/>
      </tp>
      <tp t="b">
        <v>0</v>
        <stp/>
        <stp>VALE3_B_0</stp>
        <stp>SEM</stp>
        <tr r="AA16" s="1"/>
      </tp>
      <tp t="b">
        <v>0</v>
        <stp/>
        <stp>ECOR3_B_0</stp>
        <stp>PRT</stp>
        <tr r="X9" s="1"/>
      </tp>
      <tp t="b">
        <v>0</v>
        <stp/>
        <stp>CYRE3_B_0</stp>
        <stp>MES</stp>
        <tr r="AB5" s="1"/>
      </tp>
      <tp t="b">
        <v>0</v>
        <stp/>
        <stp>RENT3_B_0</stp>
        <stp>QTE</stp>
        <tr r="Y13" s="1"/>
      </tp>
      <tp t="b">
        <v>0</v>
        <stp/>
        <stp>CYRE3_B_0</stp>
        <stp>MED</stp>
        <tr r="L5" s="1"/>
      </tp>
      <tp t="b">
        <v>0</v>
        <stp/>
        <stp>RENT3_B_0</stp>
        <stp>QTT</stp>
        <tr r="P13" s="1"/>
      </tp>
      <tp t="b">
        <v>0</v>
        <stp/>
        <stp>RENT3_B_0</stp>
        <stp>QUL</stp>
        <tr r="O13" s="1"/>
      </tp>
      <tp t="b">
        <v>0</v>
        <stp/>
        <stp>ITUB4_B_0</stp>
        <stp>GAMA</stp>
        <tr r="AP18" s="1"/>
      </tp>
      <tp t="b">
        <v>0</v>
        <stp/>
        <stp>CMIG4_B_0</stp>
        <stp>VIB</stp>
        <tr r="AU20" s="1"/>
      </tp>
      <tp t="b">
        <v>0</v>
        <stp/>
        <stp>CMIG4_B_0</stp>
        <stp>VIA</stp>
        <tr r="AT20" s="1"/>
      </tp>
      <tp t="b">
        <v>0</v>
        <stp/>
        <stp>USIM5_B_0</stp>
        <stp>VAL</stp>
        <tr r="AJ24" s="1"/>
      </tp>
      <tp t="b">
        <v>0</v>
        <stp/>
        <stp>CYRE3_B_0</stp>
        <stp>MIN</stp>
        <tr r="G5" s="1"/>
      </tp>
      <tp t="b">
        <v>0</v>
        <stp/>
        <stp>USIM5_B_0</stp>
        <stp>VAR</stp>
        <tr r="J24" s="1"/>
      </tp>
      <tp t="b">
        <v>0</v>
        <stp/>
        <stp>CIEL3_B_0</stp>
        <stp>SEMES</stp>
        <tr r="AH8" s="1"/>
      </tp>
      <tp t="b">
        <v>0</v>
        <stp/>
        <stp>USIM5_B_0</stp>
        <stp>VEN</stp>
        <tr r="AI24" s="1"/>
      </tp>
      <tp t="b">
        <v>0</v>
        <stp/>
        <stp>CMIG4_B_0</stp>
        <stp>VOV</stp>
        <tr r="U20" s="1"/>
      </tp>
      <tp t="b">
        <v>0</v>
        <stp/>
        <stp>CMIG4_B_0</stp>
        <stp>VOL</stp>
        <tr r="Q20" s="1"/>
      </tp>
      <tp t="b">
        <v>0</v>
        <stp/>
        <stp>CMIG4_B_0</stp>
        <stp>VOC</stp>
        <tr r="T20" s="1"/>
      </tp>
      <tp t="b">
        <v>0</v>
        <stp/>
        <stp>B3SA3_B_0</stp>
        <stp>DELTA</stp>
        <tr r="AO29" s="1"/>
      </tp>
      <tp t="b">
        <v>0</v>
        <stp/>
        <stp>BITFUT_F_0</stp>
        <stp>VARPTS</stp>
        <tr r="K4" s="2"/>
      </tp>
      <tp t="b">
        <v>0</v>
        <stp/>
        <stp>BRFS3_B_0</stp>
        <stp>DOBRAR</stp>
        <tr r="AV21" s="1"/>
      </tp>
      <tp t="b">
        <v>0</v>
        <stp/>
        <stp>LREN3_B_0</stp>
        <stp>DOBRAR</stp>
        <tr r="AV7" s="1"/>
      </tp>
      <tp t="b">
        <v>0</v>
        <stp/>
        <stp>BRAP4_B_0</stp>
        <stp>DOBRAR</stp>
        <tr r="AV14" s="1"/>
      </tp>
      <tp t="b">
        <v>0</v>
        <stp/>
        <stp>MRVE3_B_0</stp>
        <stp>DOBRAR</stp>
        <tr r="AV11" s="1"/>
      </tp>
      <tp t="b">
        <v>0</v>
        <stp/>
        <stp>CYRE3_B_0</stp>
        <stp>VEXT</stp>
        <tr r="AY5" s="1"/>
      </tp>
      <tp t="b">
        <v>0</v>
        <stp/>
        <stp>ABEV3_B_0</stp>
        <stp>DELTA</stp>
        <tr r="AO27" s="1"/>
      </tp>
      <tp t="b">
        <v>0</v>
        <stp/>
        <stp>ITSA4_B_0</stp>
        <stp>OVD</stp>
        <tr r="S4" s="1"/>
      </tp>
      <tp t="b">
        <v>0</v>
        <stp/>
        <stp>ECOR3_B_0</stp>
        <stp>SEM</stp>
        <tr r="AA9" s="1"/>
      </tp>
      <tp t="b">
        <v>0</v>
        <stp/>
        <stp>GFSA3_B_0</stp>
        <stp>OVD</stp>
        <tr r="S10" s="1"/>
      </tp>
      <tp t="b">
        <v>0</v>
        <stp/>
        <stp>VALE3_B_0</stp>
        <stp>PRT</stp>
        <tr r="X16" s="1"/>
      </tp>
      <tp t="b">
        <v>0</v>
        <stp/>
        <stp>B3SA3_B_0</stp>
        <stp>OVD</stp>
        <tr r="S29" s="1"/>
      </tp>
      <tp t="b">
        <v>0</v>
        <stp/>
        <stp>PETR3_B_0</stp>
        <stp>TRIM</stp>
        <tr r="AG30" s="1"/>
      </tp>
      <tp t="b">
        <v>0</v>
        <stp/>
        <stp>PETR4_B_0</stp>
        <stp>TRIM</stp>
        <tr r="AG22" s="1"/>
      </tp>
      <tp t="b">
        <v>0</v>
        <stp/>
        <stp>MGLU3_B_0</stp>
        <stp>PEX</stp>
        <tr r="I17" s="1"/>
      </tp>
      <tp t="b">
        <v>0</v>
        <stp/>
        <stp>LREN3_B_0</stp>
        <stp>BLACK</stp>
        <tr r="AM7" s="1"/>
      </tp>
      <tp t="b">
        <v>0</v>
        <stp/>
        <stp>RENT3_B_0</stp>
        <stp>RHO</stp>
        <tr r="AR13" s="1"/>
      </tp>
      <tp t="b">
        <v>0</v>
        <stp/>
        <stp>VALE3_B_0</stp>
        <stp>VEGA</stp>
        <tr r="AS16" s="1"/>
      </tp>
      <tp t="b">
        <v>0</v>
        <stp/>
        <stp>PETR3_B_0</stp>
        <stp>HOR</stp>
        <tr r="C30" s="1"/>
      </tp>
      <tp t="b">
        <v>0</v>
        <stp/>
        <stp>PETR4_B_0</stp>
        <stp>HOR</stp>
        <tr r="C22" s="1"/>
      </tp>
      <tp t="b">
        <v>0</v>
        <stp/>
        <stp>MRVE3_B_0</stp>
        <stp>VEXT</stp>
        <tr r="AY11" s="1"/>
      </tp>
      <tp t="b">
        <v>0</v>
        <stp/>
        <stp>MGLU3_B_0</stp>
        <stp>PRT</stp>
        <tr r="X17" s="1"/>
      </tp>
      <tp t="b">
        <v>0</v>
        <stp/>
        <stp>MRVE3_B_0</stp>
        <stp>VEGA</stp>
        <tr r="AS11" s="1"/>
      </tp>
      <tp t="b">
        <v>0</v>
        <stp/>
        <stp>SUZB3_B_0</stp>
        <stp>FEC</stp>
        <tr r="H19" s="1"/>
      </tp>
      <tp t="b">
        <v>0</v>
        <stp/>
        <stp>GFSA3_B_0</stp>
        <stp>GAMA</stp>
        <tr r="AP10" s="1"/>
      </tp>
      <tp t="b">
        <v>0</v>
        <stp/>
        <stp>GGBR4_B_0</stp>
        <stp>TRIM</stp>
        <tr r="AG26" s="1"/>
      </tp>
      <tp t="b">
        <v>0</v>
        <stp/>
        <stp>ITSA4_B_0</stp>
        <stp>OCP</stp>
        <tr r="R4" s="1"/>
      </tp>
      <tp t="b">
        <v>0</v>
        <stp/>
        <stp>B3SA3_B_0</stp>
        <stp>OCP</stp>
        <tr r="R29" s="1"/>
      </tp>
      <tp t="b">
        <v>0</v>
        <stp/>
        <stp>GFSA3_B_0</stp>
        <stp>OCP</stp>
        <tr r="R10" s="1"/>
      </tp>
      <tp t="b">
        <v>0</v>
        <stp/>
        <stp>B3SA3_B_0</stp>
        <stp>GAMA</stp>
        <tr r="AP29" s="1"/>
      </tp>
      <tp t="b">
        <v>0</v>
        <stp/>
        <stp>GGBR4_B_0</stp>
        <stp>SEMES</stp>
        <tr r="AH26" s="1"/>
      </tp>
      <tp t="b">
        <v>0</v>
        <stp/>
        <stp>VALE3_B_0</stp>
        <stp>VEXT</stp>
        <tr r="AY16" s="1"/>
      </tp>
      <tp t="b">
        <v>0</v>
        <stp/>
        <stp>CSNA3_B_0</stp>
        <stp>GAMA</stp>
        <tr r="AP6" s="1"/>
      </tp>
      <tp t="b">
        <v>0</v>
        <stp/>
        <stp>VALE3_B_0</stp>
        <stp>PEX</stp>
        <tr r="I16" s="1"/>
      </tp>
      <tp t="b">
        <v>0</v>
        <stp/>
        <stp>CYRE3_B_0</stp>
        <stp>NEG</stp>
        <tr r="N5" s="1"/>
      </tp>
      <tp t="b">
        <v>0</v>
        <stp/>
        <stp>EMBR3_B_0</stp>
        <stp>TRIM</stp>
        <tr r="AG2" s="1"/>
      </tp>
      <tp t="b">
        <v>0</v>
        <stp/>
        <stp>ECOR3_B_0</stp>
        <stp>TRIM</stp>
        <tr r="AG9" s="1"/>
      </tp>
      <tp t="b">
        <v>0</v>
        <stp/>
        <stp>USIM5_B_0</stp>
        <stp>ULT</stp>
        <tr r="D24" s="1"/>
      </tp>
      <tp t="b">
        <v>0</v>
        <stp/>
        <stp>ITSA4_B_0</stp>
        <stp>GAMA</stp>
        <tr r="AP4" s="1"/>
      </tp>
      <tp t="b">
        <v>0</v>
        <stp/>
        <stp>GOAU4_B_0</stp>
        <stp>SEMES</stp>
        <tr r="AH28" s="1"/>
      </tp>
      <tp t="b">
        <v>0</v>
        <stp/>
        <stp>CMIG4_B_0</stp>
        <stp>ULT</stp>
        <tr r="D20" s="1"/>
      </tp>
      <tp t="b">
        <v>0</v>
        <stp/>
        <stp>CYRE3_B_0</stp>
        <stp>VEGA</stp>
        <tr r="AS5" s="1"/>
      </tp>
      <tp t="b">
        <v>0</v>
        <stp/>
        <stp>CSNA3_B_0</stp>
        <stp>RHO</stp>
        <tr r="AR6" s="1"/>
      </tp>
      <tp t="b">
        <v>0</v>
        <stp/>
        <stp>USIM5_B_0</stp>
        <stp>VARPTS</stp>
        <tr r="K24" s="1"/>
      </tp>
      <tp t="b">
        <v>0</v>
        <stp/>
        <stp>CSNA3_B_0</stp>
        <stp>VARPTS</stp>
        <tr r="K6" s="1"/>
      </tp>
      <tp t="b">
        <v>0</v>
        <stp/>
        <stp>WDOFUT_F_0</stp>
        <stp>TRIM</stp>
        <tr r="AG2" s="2"/>
      </tp>
      <tp t="b">
        <v>0</v>
        <stp/>
        <stp>WINFUT_F_0</stp>
        <stp>TRIM</stp>
        <tr r="AG3" s="2"/>
      </tp>
      <tp t="b">
        <v>0</v>
        <stp/>
        <stp>CYRE3_B_0</stp>
        <stp>OVD</stp>
        <tr r="S5" s="1"/>
      </tp>
      <tp t="b">
        <v>0</v>
        <stp/>
        <stp>GGBR4_B_0</stp>
        <stp>DELTA</stp>
        <tr r="AO26" s="1"/>
      </tp>
      <tp t="b">
        <v>0</v>
        <stp/>
        <stp>VALE3_B_0</stp>
        <stp>QUL</stp>
        <tr r="O16" s="1"/>
      </tp>
      <tp t="b">
        <v>0</v>
        <stp/>
        <stp>RENT3_B_0</stp>
        <stp>SEM</stp>
        <tr r="AA13" s="1"/>
      </tp>
      <tp t="b">
        <v>0</v>
        <stp/>
        <stp>VALE3_B_0</stp>
        <stp>QTE</stp>
        <tr r="Y16" s="1"/>
      </tp>
      <tp t="b">
        <v>0</v>
        <stp/>
        <stp>VALE3_B_0</stp>
        <stp>QTT</stp>
        <tr r="P16" s="1"/>
      </tp>
      <tp t="b">
        <v>0</v>
        <stp/>
        <stp>MRVE3_B_0</stp>
        <stp>BLACK</stp>
        <tr r="AM11" s="1"/>
      </tp>
      <tp t="b">
        <v>0</v>
        <stp/>
        <stp>ECOR3_B_0</stp>
        <stp>RHO</stp>
        <tr r="AR9" s="1"/>
      </tp>
      <tp t="b">
        <v>0</v>
        <stp/>
        <stp>GOAU4_B_0</stp>
        <stp>DELTA</stp>
        <tr r="AO28" s="1"/>
      </tp>
      <tp t="b">
        <v>0</v>
        <stp/>
        <stp>BRFS3_B_0</stp>
        <stp>TRIM</stp>
        <tr r="AG21" s="1"/>
      </tp>
      <tp t="b">
        <v>0</v>
        <stp/>
        <stp>CYRE3_B_0</stp>
        <stp>OCP</stp>
        <tr r="R5" s="1"/>
      </tp>
      <tp t="b">
        <v>0</v>
        <stp/>
        <stp>BBAS3_B_0</stp>
        <stp>TRIM</stp>
        <tr r="AG15" s="1"/>
      </tp>
      <tp t="b">
        <v>0</v>
        <stp/>
        <stp>ABEV3_B_0</stp>
        <stp>SEMES</stp>
        <tr r="AH27" s="1"/>
      </tp>
      <tp t="b">
        <v>0</v>
        <stp/>
        <stp>ITSA4_B_0</stp>
        <stp>NEG</stp>
        <tr r="N4" s="1"/>
      </tp>
      <tp t="b">
        <v>0</v>
        <stp/>
        <stp>CSNA3_B_0</stp>
        <stp>SEM</stp>
        <tr r="AA6" s="1"/>
      </tp>
      <tp t="b">
        <v>0</v>
        <stp/>
        <stp>GFSA3_B_0</stp>
        <stp>NEG</stp>
        <tr r="N10" s="1"/>
      </tp>
      <tp t="b">
        <v>0</v>
        <stp/>
        <stp>B3SA3_B_0</stp>
        <stp>NEG</stp>
        <tr r="N29" s="1"/>
      </tp>
      <tp t="b">
        <v>0</v>
        <stp/>
        <stp>MGLU3_B_0</stp>
        <stp>BLACK</stp>
        <tr r="AM17" s="1"/>
      </tp>
      <tp t="b">
        <v>0</v>
        <stp/>
        <stp>MGLU3_B_0</stp>
        <stp>QUL</stp>
        <tr r="O17" s="1"/>
      </tp>
      <tp t="b">
        <v>0</v>
        <stp/>
        <stp>MGLU3_B_0</stp>
        <stp>QTT</stp>
        <tr r="P17" s="1"/>
      </tp>
      <tp t="b">
        <v>0</v>
        <stp/>
        <stp>MGLU3_B_0</stp>
        <stp>QTE</stp>
        <tr r="Y17" s="1"/>
      </tp>
      <tp t="b">
        <v>0</v>
        <stp/>
        <stp>ITUB4_B_0</stp>
        <stp>HOR</stp>
        <tr r="C18" s="1"/>
      </tp>
      <tp t="b">
        <v>0</v>
        <stp/>
        <stp>BRAP4_B_0</stp>
        <stp>VARPTS</stp>
        <tr r="K14" s="1"/>
      </tp>
      <tp t="b">
        <v>0</v>
        <stp/>
        <stp>LREN3_B_0</stp>
        <stp>VARPTS</stp>
        <tr r="K7" s="1"/>
      </tp>
      <tp t="b">
        <v>0</v>
        <stp/>
        <stp>BRFS3_B_0</stp>
        <stp>VARPTS</stp>
        <tr r="K21" s="1"/>
      </tp>
      <tp t="b">
        <v>0</v>
        <stp/>
        <stp>BITFUT_F_0</stp>
        <stp>DOBRAR</stp>
        <tr r="AV4" s="2"/>
      </tp>
      <tp t="b">
        <v>0</v>
        <stp/>
        <stp>MRVE3_B_0</stp>
        <stp>VARPTS</stp>
        <tr r="K11" s="1"/>
      </tp>
      <tp t="b">
        <v>0</v>
        <stp/>
        <stp>BBAS3_B_0</stp>
        <stp>SEM</stp>
        <tr r="AA15" s="1"/>
      </tp>
      <tp t="b">
        <v>0</v>
        <stp/>
        <stp>GGBR4_B_0</stp>
        <stp>PEX</stp>
        <tr r="I26" s="1"/>
      </tp>
      <tp t="b">
        <v>0</v>
        <stp/>
        <stp>EMBR3_B_0</stp>
        <stp>PEX</stp>
        <tr r="I2" s="1"/>
      </tp>
      <tp t="b">
        <v>0</v>
        <stp/>
        <stp>PETR3_B_0</stp>
        <stp>FEC</stp>
        <tr r="H30" s="1"/>
      </tp>
      <tp t="b">
        <v>0</v>
        <stp/>
        <stp>PETR4_B_0</stp>
        <stp>FEC</stp>
        <tr r="H22" s="1"/>
      </tp>
      <tp t="b">
        <v>0</v>
        <stp/>
        <stp>BRAP4_B_0</stp>
        <stp>SEM</stp>
        <tr r="AA14" s="1"/>
      </tp>
      <tp t="b">
        <v>0</v>
        <stp/>
        <stp>VIVT3_B_0</stp>
        <stp>DAT</stp>
        <tr r="B3" s="1"/>
      </tp>
      <tp t="b">
        <v>0</v>
        <stp/>
        <stp>BBDC4_B_0</stp>
        <stp>VPJ</stp>
        <tr r="Z12" s="1"/>
      </tp>
      <tp t="b">
        <v>0</v>
        <stp/>
        <stp>GOAU4_B_0</stp>
        <stp>SEM</stp>
        <tr r="AA28" s="1"/>
      </tp>
      <tp t="b">
        <v>0</v>
        <stp/>
        <stp>BRFS3_B_0</stp>
        <stp>BLACK</stp>
        <tr r="AM21" s="1"/>
      </tp>
      <tp t="b">
        <v>0</v>
        <stp/>
        <stp>ITSA4_B_0</stp>
        <stp>SEMES</stp>
        <tr r="AH4" s="1"/>
      </tp>
      <tp t="b">
        <v>0</v>
        <stp/>
        <stp>ITUB4_B_0</stp>
        <stp>SEMES</stp>
        <tr r="AH18" s="1"/>
      </tp>
      <tp t="b">
        <v>0</v>
        <stp/>
        <stp>CMIG4_B_0</stp>
        <stp>VIVH</stp>
        <tr r="AW20" s="1"/>
      </tp>
      <tp t="b">
        <v>0</v>
        <stp/>
        <stp>WDOFUT_F_0</stp>
        <stp>RHO</stp>
        <tr r="AR2" s="2"/>
      </tp>
      <tp t="b">
        <v>0</v>
        <stp/>
        <stp>WINFUT_F_0</stp>
        <stp>RHO</stp>
        <tr r="AR3" s="2"/>
      </tp>
      <tp t="b">
        <v>0</v>
        <stp/>
        <stp>BBDC4_B_0</stp>
        <stp>VEN</stp>
        <tr r="AI12" s="1"/>
      </tp>
      <tp t="b">
        <v>0</v>
        <stp/>
        <stp>CMIG4_B_0</stp>
        <stp>VINT</stp>
        <tr r="AX20" s="1"/>
      </tp>
      <tp t="b">
        <v>0</v>
        <stp/>
        <stp>MRVE3_B_0</stp>
        <stp>DAT</stp>
        <tr r="B11" s="1"/>
      </tp>
      <tp t="b">
        <v>0</v>
        <stp/>
        <stp>INDFUT_F_0</stp>
        <stp>RHO</stp>
        <tr r="AR25" s="1"/>
      </tp>
      <tp t="b">
        <v>0</v>
        <stp/>
        <stp>USIM5_B_0</stp>
        <stp>IMPVT</stp>
        <tr r="AN24" s="1"/>
      </tp>
      <tp t="b">
        <v>0</v>
        <stp/>
        <stp>BBDC4_B_0</stp>
        <stp>VAR</stp>
        <tr r="J12" s="1"/>
      </tp>
      <tp t="b">
        <v>0</v>
        <stp/>
        <stp>BBDC4_B_0</stp>
        <stp>VAL</stp>
        <tr r="AJ12" s="1"/>
      </tp>
      <tp t="b">
        <v>0</v>
        <stp/>
        <stp>ITSA4_B_0</stp>
        <stp>ABE</stp>
        <tr r="E4" s="1"/>
      </tp>
      <tp t="b">
        <v>0</v>
        <stp/>
        <stp>GFSA3_B_0</stp>
        <stp>ABE</stp>
        <tr r="E10" s="1"/>
      </tp>
      <tp t="b">
        <v>0</v>
        <stp/>
        <stp>B3SA3_B_0</stp>
        <stp>ABE</stp>
        <tr r="E29" s="1"/>
      </tp>
      <tp t="b">
        <v>0</v>
        <stp/>
        <stp>SUZB3_B_0</stp>
        <stp>IMPVT</stp>
        <tr r="AN19" s="1"/>
      </tp>
      <tp t="b">
        <v>0</v>
        <stp/>
        <stp>EMBR3_B_0</stp>
        <stp>PRT</stp>
        <tr r="X2" s="1"/>
      </tp>
      <tp t="b">
        <v>0</v>
        <stp/>
        <stp>GGBR4_B_0</stp>
        <stp>PRT</stp>
        <tr r="X26" s="1"/>
      </tp>
      <tp t="b">
        <v>0</v>
        <stp/>
        <stp>BBAS3_B_0</stp>
        <stp>BLACK</stp>
        <tr r="AM15" s="1"/>
      </tp>
      <tp t="b">
        <v>0</v>
        <stp/>
        <stp>BITFUT_F_0</stp>
        <stp>RHO</stp>
        <tr r="AR4" s="2"/>
      </tp>
      <tp t="b">
        <v>0</v>
        <stp/>
        <stp>GFSA3_B_0</stp>
        <stp>ANO</stp>
        <tr r="AF10" s="1"/>
      </tp>
      <tp t="b">
        <v>0</v>
        <stp/>
        <stp>B3SA3_B_0</stp>
        <stp>ANO</stp>
        <tr r="AF29" s="1"/>
      </tp>
      <tp t="b">
        <v>0</v>
        <stp/>
        <stp>ITSA4_B_0</stp>
        <stp>ANO</stp>
        <tr r="AF4" s="1"/>
      </tp>
      <tp t="b">
        <v>0</v>
        <stp/>
        <stp>BBDC4_B_0</stp>
        <stp>VOV</stp>
        <tr r="U12" s="1"/>
      </tp>
      <tp t="b">
        <v>0</v>
        <stp/>
        <stp>BBDC4_B_0</stp>
        <stp>VOL</stp>
        <tr r="Q12" s="1"/>
      </tp>
      <tp t="b">
        <v>0</v>
        <stp/>
        <stp>BBDC4_B_0</stp>
        <stp>VOC</stp>
        <tr r="T12" s="1"/>
      </tp>
      <tp t="b">
        <v>0</v>
        <stp/>
        <stp>SUZB3_B_0</stp>
        <stp>HOR</stp>
        <tr r="C19" s="1"/>
      </tp>
      <tp t="b">
        <v>0</v>
        <stp/>
        <stp>BBDC4_B_0</stp>
        <stp>VIB</stp>
        <tr r="AU12" s="1"/>
      </tp>
      <tp t="b">
        <v>0</v>
        <stp/>
        <stp>BBDC4_B_0</stp>
        <stp>VIA</stp>
        <tr r="AT12" s="1"/>
      </tp>
      <tp t="b">
        <v>0</v>
        <stp/>
        <stp>ITSA4_B_0</stp>
        <stp>AJU</stp>
        <tr r="V4" s="1"/>
      </tp>
      <tp t="b">
        <v>0</v>
        <stp/>
        <stp>GFSA3_B_0</stp>
        <stp>AJU</stp>
        <tr r="V10" s="1"/>
      </tp>
      <tp t="b">
        <v>0</v>
        <stp/>
        <stp>B3SA3_B_0</stp>
        <stp>AJU</stp>
        <tr r="V29" s="1"/>
      </tp>
      <tp t="b">
        <v>0</v>
        <stp/>
        <stp>ITSA4_B_0</stp>
        <stp>AJA</stp>
        <tr r="W4" s="1"/>
      </tp>
      <tp t="b">
        <v>0</v>
        <stp/>
        <stp>B3SA3_B_0</stp>
        <stp>AJA</stp>
        <tr r="W29" s="1"/>
      </tp>
      <tp t="b">
        <v>0</v>
        <stp/>
        <stp>GFSA3_B_0</stp>
        <stp>AJA</stp>
        <tr r="W10" s="1"/>
      </tp>
      <tp t="b">
        <v>0</v>
        <stp/>
        <stp>B3SA3_B_0</stp>
        <stp>BLACK</stp>
        <tr r="AM29" s="1"/>
      </tp>
      <tp t="b">
        <v>0</v>
        <stp/>
        <stp>BITFUT_F_0</stp>
        <stp>VINT</stp>
        <tr r="AX4" s="2"/>
      </tp>
      <tp t="b">
        <v>0</v>
        <stp/>
        <stp>BITFUT_F_0</stp>
        <stp>VIVH</stp>
        <tr r="AW4" s="2"/>
      </tp>
      <tp t="b">
        <v>0</v>
        <stp/>
        <stp>WDOFUT_F_0</stp>
        <stp>SEM</stp>
        <tr r="AA2" s="2"/>
      </tp>
      <tp t="b">
        <v>0</v>
        <stp/>
        <stp>WINFUT_F_0</stp>
        <stp>SEM</stp>
        <tr r="AA3" s="2"/>
      </tp>
      <tp t="b">
        <v>0</v>
        <stp/>
        <stp>MRVE3_B_0</stp>
        <stp>EST</stp>
        <tr r="AL11" s="1"/>
      </tp>
      <tp t="b">
        <v>0</v>
        <stp/>
        <stp>ABEV3_B_0</stp>
        <stp>VAR</stp>
        <tr r="J27" s="1"/>
      </tp>
      <tp t="b">
        <v>0</v>
        <stp/>
        <stp>ABEV3_B_0</stp>
        <stp>VAL</stp>
        <tr r="AJ27" s="1"/>
      </tp>
      <tp t="b">
        <v>0</v>
        <stp/>
        <stp>GFSA3_B_0</stp>
        <stp>THETA</stp>
        <tr r="AQ10" s="1"/>
      </tp>
      <tp t="b">
        <v>0</v>
        <stp/>
        <stp>ABEV3_B_0</stp>
        <stp>VEN</stp>
        <tr r="AI27" s="1"/>
      </tp>
      <tp t="b">
        <v>0</v>
        <stp/>
        <stp>RENT3_B_0</stp>
        <stp>IMPVT</stp>
        <tr r="AN13" s="1"/>
      </tp>
      <tp t="b">
        <v>0</v>
        <stp/>
        <stp>CSNA3_B_0</stp>
        <stp>BLACK</stp>
        <tr r="AM6" s="1"/>
      </tp>
      <tp t="b">
        <v>0</v>
        <stp/>
        <stp>LREN3_B_0</stp>
        <stp>VPJ</stp>
        <tr r="Z7" s="1"/>
      </tp>
      <tp t="b">
        <v>0</v>
        <stp/>
        <stp>BRFS3_B_0</stp>
        <stp>ULT</stp>
        <tr r="D21" s="1"/>
      </tp>
      <tp t="b">
        <v>0</v>
        <stp/>
        <stp>ABEV3_B_0</stp>
        <stp>VIB</stp>
        <tr r="AU27" s="1"/>
      </tp>
      <tp t="b">
        <v>0</v>
        <stp/>
        <stp>ABEV3_B_0</stp>
        <stp>VIA</stp>
        <tr r="AT27" s="1"/>
      </tp>
      <tp t="b">
        <v>0</v>
        <stp/>
        <stp>CIEL3_B_0</stp>
        <stp>VPJ</stp>
        <tr r="Z8" s="1"/>
      </tp>
      <tp t="b">
        <v>0</v>
        <stp/>
        <stp>GOAU4_B_0</stp>
        <stp>RHO</stp>
        <tr r="AR28" s="1"/>
      </tp>
      <tp t="b">
        <v>0</v>
        <stp/>
        <stp>CYRE3_B_0</stp>
        <stp>BLACK</stp>
        <tr r="AM5" s="1"/>
      </tp>
      <tp t="b">
        <v>0</v>
        <stp/>
        <stp>BBAS3_B_0</stp>
        <stp>RHO</stp>
        <tr r="AR15" s="1"/>
      </tp>
      <tp t="b">
        <v>0</v>
        <stp/>
        <stp>BRAP4_B_0</stp>
        <stp>RHO</stp>
        <tr r="AR14" s="1"/>
      </tp>
      <tp t="b">
        <v>0</v>
        <stp/>
        <stp>ABEV3_B_0</stp>
        <stp>VOV</stp>
        <tr r="U27" s="1"/>
      </tp>
      <tp t="b">
        <v>0</v>
        <stp/>
        <stp>ABEV3_B_0</stp>
        <stp>VOL</stp>
        <tr r="Q27" s="1"/>
      </tp>
      <tp t="b">
        <v>0</v>
        <stp/>
        <stp>ABEV3_B_0</stp>
        <stp>VOC</stp>
        <tr r="T27" s="1"/>
      </tp>
      <tp t="b">
        <v>0</v>
        <stp/>
        <stp>EMBR3_B_0</stp>
        <stp>QTT</stp>
        <tr r="P2" s="1"/>
      </tp>
      <tp t="b">
        <v>0</v>
        <stp/>
        <stp>GGBR4_B_0</stp>
        <stp>QTT</stp>
        <tr r="P26" s="1"/>
      </tp>
      <tp t="b">
        <v>0</v>
        <stp/>
        <stp>ABEV3_B_0</stp>
        <stp>VPJ</stp>
        <tr r="Z27" s="1"/>
      </tp>
      <tp t="b">
        <v>0</v>
        <stp/>
        <stp>EMBR3_B_0</stp>
        <stp>QTE</stp>
        <tr r="Y2" s="1"/>
      </tp>
      <tp t="b">
        <v>0</v>
        <stp/>
        <stp>GGBR4_B_0</stp>
        <stp>QTE</stp>
        <tr r="Y26" s="1"/>
      </tp>
      <tp t="b">
        <v>0</v>
        <stp/>
        <stp>EMBR3_B_0</stp>
        <stp>QUL</stp>
        <tr r="O2" s="1"/>
      </tp>
      <tp t="b">
        <v>0</v>
        <stp/>
        <stp>LREN3_B_0</stp>
        <stp>VIB</stp>
        <tr r="AU7" s="1"/>
      </tp>
      <tp t="b">
        <v>0</v>
        <stp/>
        <stp>LREN3_B_0</stp>
        <stp>VIA</stp>
        <tr r="AT7" s="1"/>
      </tp>
      <tp t="b">
        <v>0</v>
        <stp/>
        <stp>ITUB4_B_0</stp>
        <stp>FEC</stp>
        <tr r="H18" s="1"/>
      </tp>
      <tp t="b">
        <v>0</v>
        <stp/>
        <stp>GGBR4_B_0</stp>
        <stp>QUL</stp>
        <tr r="O26" s="1"/>
      </tp>
      <tp t="b">
        <v>0</v>
        <stp/>
        <stp>VIVT3_B_0</stp>
        <stp>EST</stp>
        <tr r="AL3" s="1"/>
      </tp>
      <tp t="b">
        <v>0</v>
        <stp/>
        <stp>CYRE3_B_0</stp>
        <stp>ABE</stp>
        <tr r="E5" s="1"/>
      </tp>
      <tp t="b">
        <v>0</v>
        <stp/>
        <stp>CIEL3_B_0</stp>
        <stp>VIA</stp>
        <tr r="AT8" s="1"/>
      </tp>
      <tp t="b">
        <v>0</v>
        <stp/>
        <stp>CIEL3_B_0</stp>
        <stp>VIB</stp>
        <tr r="AU8" s="1"/>
      </tp>
      <tp t="b">
        <v>0</v>
        <stp/>
        <stp>IBOV_B_0</stp>
        <stp>ULT</stp>
        <tr r="D23" s="1"/>
      </tp>
      <tp t="b">
        <v>0</v>
        <stp/>
        <stp>BITFUT_F_0</stp>
        <stp>SEM</stp>
        <tr r="AA4" s="2"/>
      </tp>
      <tp t="b">
        <v>0</v>
        <stp/>
        <stp>CIEL3_B_0</stp>
        <stp>VOV</stp>
        <tr r="U8" s="1"/>
      </tp>
      <tp t="b">
        <v>0</v>
        <stp/>
        <stp>CIEL3_B_0</stp>
        <stp>VOL</stp>
        <tr r="Q8" s="1"/>
      </tp>
      <tp t="b">
        <v>0</v>
        <stp/>
        <stp>CIEL3_B_0</stp>
        <stp>VOC</stp>
        <tr r="T8" s="1"/>
      </tp>
      <tp t="b">
        <v>0</v>
        <stp/>
        <stp>ITUB4_B_0</stp>
        <stp>DELTA</stp>
        <tr r="AO18" s="1"/>
      </tp>
      <tp t="b">
        <v>0</v>
        <stp/>
        <stp>ITSA4_B_0</stp>
        <stp>DELTA</stp>
        <tr r="AO4" s="1"/>
      </tp>
      <tp t="b">
        <v>0</v>
        <stp/>
        <stp>LREN3_B_0</stp>
        <stp>VOV</stp>
        <tr r="U7" s="1"/>
      </tp>
      <tp t="b">
        <v>0</v>
        <stp/>
        <stp>LREN3_B_0</stp>
        <stp>VOC</stp>
        <tr r="T7" s="1"/>
      </tp>
      <tp t="b">
        <v>0</v>
        <stp/>
        <stp>LREN3_B_0</stp>
        <stp>VOL</stp>
        <tr r="Q7" s="1"/>
      </tp>
      <tp t="b">
        <v>0</v>
        <stp/>
        <stp>LREN3_B_0</stp>
        <stp>VAR</stp>
        <tr r="J7" s="1"/>
      </tp>
      <tp t="b">
        <v>0</v>
        <stp/>
        <stp>CYRE3_B_0</stp>
        <stp>AJU</stp>
        <tr r="V5" s="1"/>
      </tp>
      <tp t="b">
        <v>0</v>
        <stp/>
        <stp>CYRE3_B_0</stp>
        <stp>AJA</stp>
        <tr r="W5" s="1"/>
      </tp>
      <tp t="b">
        <v>0</v>
        <stp/>
        <stp>LREN3_B_0</stp>
        <stp>VAL</stp>
        <tr r="AJ7" s="1"/>
      </tp>
      <tp t="b">
        <v>0</v>
        <stp/>
        <stp>LREN3_B_0</stp>
        <stp>GAMA</stp>
        <tr r="AP7" s="1"/>
      </tp>
      <tp t="b">
        <v>0</v>
        <stp/>
        <stp>CIEL3_B_0</stp>
        <stp>VAR</stp>
        <tr r="J8" s="1"/>
      </tp>
      <tp t="b">
        <v>0</v>
        <stp/>
        <stp>CIEL3_B_0</stp>
        <stp>VAL</stp>
        <tr r="AJ8" s="1"/>
      </tp>
      <tp t="b">
        <v>0</v>
        <stp/>
        <stp>CIEL3_B_0</stp>
        <stp>BLACK</stp>
        <tr r="AM8" s="1"/>
      </tp>
      <tp t="b">
        <v>0</v>
        <stp/>
        <stp>CYRE3_B_0</stp>
        <stp>ANO</stp>
        <tr r="AF5" s="1"/>
      </tp>
      <tp t="b">
        <v>0</v>
        <stp/>
        <stp>LREN3_B_0</stp>
        <stp>VEN</stp>
        <tr r="AI7" s="1"/>
      </tp>
      <tp t="b">
        <v>0</v>
        <stp/>
        <stp>INDFUT_F_0</stp>
        <stp>SEM</stp>
        <tr r="AA25" s="1"/>
      </tp>
      <tp t="b">
        <v>0</v>
        <stp/>
        <stp>CIEL3_B_0</stp>
        <stp>VEN</stp>
        <tr r="AI8" s="1"/>
      </tp>
      <tp t="b">
        <v>0</v>
        <stp/>
        <stp>IBOV_B_0</stp>
        <stp>GAMA</stp>
        <tr r="AP23" s="1"/>
      </tp>
      <tp t="b">
        <v>0</v>
        <stp/>
        <stp>INDFUT_F_0</stp>
        <stp>GAMA</stp>
        <tr r="AP25" s="1"/>
      </tp>
      <tp t="b">
        <v>0</v>
        <stp/>
        <stp>WDOFUT_F_0</stp>
        <stp>PEX</stp>
        <tr r="I2" s="2"/>
      </tp>
      <tp t="b">
        <v>0</v>
        <stp/>
        <stp>WINFUT_F_0</stp>
        <stp>PEX</stp>
        <tr r="I3" s="2"/>
      </tp>
      <tp t="b">
        <v>0</v>
        <stp/>
        <stp>MRVE3_B_0</stp>
        <stp>VIVH</stp>
        <tr r="AW11" s="1"/>
      </tp>
      <tp t="b">
        <v>0</v>
        <stp/>
        <stp>BRFS3_B_0</stp>
        <stp>VEN</stp>
        <tr r="AI21" s="1"/>
      </tp>
      <tp t="b">
        <v>0</v>
        <stp/>
        <stp>LREN3_B_0</stp>
        <stp>SEMES</stp>
        <tr r="AH7" s="1"/>
      </tp>
      <tp t="b">
        <v>0</v>
        <stp/>
        <stp>BITFUT_F_0</stp>
        <stp>PRT</stp>
        <tr r="X4" s="2"/>
      </tp>
      <tp t="b">
        <v>0</v>
        <stp/>
        <stp>VALE3_B_0</stp>
        <stp>VINT</stp>
        <tr r="AX16" s="1"/>
      </tp>
      <tp t="b">
        <v>0</v>
        <stp/>
        <stp>BRFS3_B_0</stp>
        <stp>VAR</stp>
        <tr r="J21" s="1"/>
      </tp>
      <tp t="b">
        <v>0</v>
        <stp/>
        <stp>BRFS3_B_0</stp>
        <stp>VAL</stp>
        <tr r="AJ21" s="1"/>
      </tp>
      <tp t="b">
        <v>0</v>
        <stp/>
        <stp>USIM5_B_0</stp>
        <stp>GAMA</stp>
        <tr r="AP24" s="1"/>
      </tp>
      <tp t="b">
        <v>0</v>
        <stp/>
        <stp>PETR4_B_0</stp>
        <stp>DAT</stp>
        <tr r="B22" s="1"/>
      </tp>
      <tp t="b">
        <v>0</v>
        <stp/>
        <stp>PETR3_B_0</stp>
        <stp>DAT</stp>
        <tr r="B30" s="1"/>
      </tp>
      <tp t="b">
        <v>0</v>
        <stp/>
        <stp>MGLU3_B_0</stp>
        <stp>DELTA</stp>
        <tr r="AO17" s="1"/>
      </tp>
      <tp t="b">
        <v>0</v>
        <stp/>
        <stp>ITUB4_B_0</stp>
        <stp>EST</stp>
        <tr r="AL18" s="1"/>
      </tp>
      <tp t="b">
        <v>0</v>
        <stp/>
        <stp>VIVT3_B_0</stp>
        <stp>FEC</stp>
        <tr r="H3" s="1"/>
      </tp>
      <tp t="b">
        <v>0</v>
        <stp/>
        <stp>IBOV_B_0</stp>
        <stp>VPJ</stp>
        <tr r="Z23" s="1"/>
      </tp>
      <tp t="b">
        <v>0</v>
        <stp/>
        <stp>INDFUT_F_0</stp>
        <stp>PRT</stp>
        <tr r="X25" s="1"/>
      </tp>
      <tp t="b">
        <v>0</v>
        <stp/>
        <stp>BRFS3_B_0</stp>
        <stp>VOV</stp>
        <tr r="U21" s="1"/>
      </tp>
      <tp t="b">
        <v>0</v>
        <stp/>
        <stp>BRFS3_B_0</stp>
        <stp>VOL</stp>
        <tr r="Q21" s="1"/>
      </tp>
      <tp t="b">
        <v>0</v>
        <stp/>
        <stp>BRFS3_B_0</stp>
        <stp>VOC</stp>
        <tr r="T21" s="1"/>
      </tp>
      <tp t="b">
        <v>0</v>
        <stp/>
        <stp>ABEV3_B_0</stp>
        <stp>ULT</stp>
        <tr r="D27" s="1"/>
      </tp>
      <tp t="b">
        <v>0</v>
        <stp/>
        <stp>EMBR3_B_0</stp>
        <stp>RHO</stp>
        <tr r="AR2" s="1"/>
      </tp>
      <tp t="b">
        <v>0</v>
        <stp/>
        <stp>GGBR4_B_0</stp>
        <stp>RHO</stp>
        <tr r="AR26" s="1"/>
      </tp>
      <tp t="b">
        <v>0</v>
        <stp/>
        <stp>BRFS3_B_0</stp>
        <stp>VIA</stp>
        <tr r="AT21" s="1"/>
      </tp>
      <tp t="b">
        <v>0</v>
        <stp/>
        <stp>BRFS3_B_0</stp>
        <stp>VIB</stp>
        <tr r="AU21" s="1"/>
      </tp>
      <tp t="b">
        <v>0</v>
        <stp/>
        <stp>CYRE3_B_0</stp>
        <stp>VIVH</stp>
        <tr r="AW5" s="1"/>
      </tp>
      <tp t="b">
        <v>0</v>
        <stp/>
        <stp>CMIG4_B_0</stp>
        <stp>THETA</stp>
        <tr r="AQ20" s="1"/>
      </tp>
      <tp t="b">
        <v>0</v>
        <stp/>
        <stp>BBAS3_B_0</stp>
        <stp>QUL</stp>
        <tr r="O15" s="1"/>
      </tp>
      <tp t="b">
        <v>0</v>
        <stp/>
        <stp>MRVE3_B_0</stp>
        <stp>DELTA</stp>
        <tr r="AO11" s="1"/>
      </tp>
      <tp t="b">
        <v>0</v>
        <stp/>
        <stp>BBAS3_B_0</stp>
        <stp>QTT</stp>
        <tr r="P15" s="1"/>
      </tp>
      <tp t="b">
        <v>0</v>
        <stp/>
        <stp>BBAS3_B_0</stp>
        <stp>QTE</stp>
        <tr r="Y15" s="1"/>
      </tp>
      <tp t="b">
        <v>0</v>
        <stp/>
        <stp>IBOV_B_0</stp>
        <stp>VIB</stp>
        <tr r="AU23" s="1"/>
      </tp>
      <tp t="b">
        <v>0</v>
        <stp/>
        <stp>IBOV_B_0</stp>
        <stp>VIA</stp>
        <tr r="AT23" s="1"/>
      </tp>
      <tp t="b">
        <v>0</v>
        <stp/>
        <stp>BRAP4_B_0</stp>
        <stp>QTT</stp>
        <tr r="P14" s="1"/>
      </tp>
      <tp t="b">
        <v>0</v>
        <stp/>
        <stp>BRAP4_B_0</stp>
        <stp>QTE</stp>
        <tr r="Y14" s="1"/>
      </tp>
      <tp t="b">
        <v>0</v>
        <stp/>
        <stp>GGBR4_B_0</stp>
        <stp>BLACK</stp>
        <tr r="AM26" s="1"/>
      </tp>
      <tp t="b">
        <v>0</v>
        <stp/>
        <stp>BRAP4_B_0</stp>
        <stp>QUL</stp>
        <tr r="O14" s="1"/>
      </tp>
      <tp t="b">
        <v>0</v>
        <stp/>
        <stp>LREN3_B_0</stp>
        <stp>ULT</stp>
        <tr r="D7" s="1"/>
      </tp>
      <tp t="b">
        <v>0</v>
        <stp/>
        <stp>BITFUT_F_0</stp>
        <stp>PEX</stp>
        <tr r="I4" s="2"/>
      </tp>
      <tp t="b">
        <v>0</v>
        <stp/>
        <stp>BRFS3_B_0</stp>
        <stp>VPJ</stp>
        <tr r="Z21" s="1"/>
      </tp>
      <tp t="b">
        <v>0</v>
        <stp/>
        <stp>CIEL3_B_0</stp>
        <stp>ULT</stp>
        <tr r="D8" s="1"/>
      </tp>
      <tp t="b">
        <v>0</v>
        <stp/>
        <stp>MRVE3_B_0</stp>
        <stp>FEC</stp>
        <tr r="H11" s="1"/>
      </tp>
      <tp t="b">
        <v>0</v>
        <stp/>
        <stp>ITSA4_B_0</stp>
        <stp>CAB</stp>
        <tr r="AK4" s="1"/>
      </tp>
      <tp t="b">
        <v>0</v>
        <stp/>
        <stp>GOAU4_B_0</stp>
        <stp>QUL</stp>
        <tr r="O28" s="1"/>
      </tp>
      <tp t="b">
        <v>0</v>
        <stp/>
        <stp>CYRE3_B_0</stp>
        <stp>VINT</stp>
        <tr r="AX5" s="1"/>
      </tp>
      <tp t="b">
        <v>0</v>
        <stp/>
        <stp>B3SA3_B_0</stp>
        <stp>CAB</stp>
        <tr r="AK29" s="1"/>
      </tp>
      <tp t="b">
        <v>0</v>
        <stp/>
        <stp>GFSA3_B_0</stp>
        <stp>CAB</stp>
        <tr r="AK10" s="1"/>
      </tp>
      <tp t="b">
        <v>0</v>
        <stp/>
        <stp>WINFUT_F_0</stp>
        <stp>PRT</stp>
        <tr r="X3" s="2"/>
      </tp>
      <tp t="b">
        <v>0</v>
        <stp/>
        <stp>WDOFUT_F_0</stp>
        <stp>PRT</stp>
        <tr r="X2" s="2"/>
      </tp>
      <tp t="b">
        <v>0</v>
        <stp/>
        <stp>GOAU4_B_0</stp>
        <stp>QTT</stp>
        <tr r="P28" s="1"/>
      </tp>
      <tp t="b">
        <v>0</v>
        <stp/>
        <stp>GOAU4_B_0</stp>
        <stp>QTE</stp>
        <tr r="Y28" s="1"/>
      </tp>
      <tp t="b">
        <v>0</v>
        <stp/>
        <stp>IBOV_B_0</stp>
        <stp>VOL</stp>
        <tr r="Q23" s="1"/>
      </tp>
      <tp t="b">
        <v>0</v>
        <stp/>
        <stp>IBOV_B_0</stp>
        <stp>VOC</stp>
        <tr r="T23" s="1"/>
      </tp>
      <tp t="b">
        <v>0</v>
        <stp/>
        <stp>IBOV_B_0</stp>
        <stp>VOV</stp>
        <tr r="U23" s="1"/>
      </tp>
      <tp t="b">
        <v>0</v>
        <stp/>
        <stp>MRVE3_B_0</stp>
        <stp>VINT</stp>
        <tr r="AX11" s="1"/>
      </tp>
      <tp t="b">
        <v>0</v>
        <stp/>
        <stp>IBOV_B_0</stp>
        <stp>VAL</stp>
        <tr r="AJ23" s="1"/>
      </tp>
      <tp t="b">
        <v>0</v>
        <stp/>
        <stp>IBOV_B_0</stp>
        <stp>VAR</stp>
        <tr r="J23" s="1"/>
      </tp>
      <tp t="b">
        <v>0</v>
        <stp/>
        <stp>GOAU4_B_0</stp>
        <stp>BLACK</stp>
        <tr r="AM28" s="1"/>
      </tp>
      <tp t="b">
        <v>0</v>
        <stp/>
        <stp>VALE3_B_0</stp>
        <stp>VIVH</stp>
        <tr r="AW16" s="1"/>
      </tp>
      <tp t="b">
        <v>0</v>
        <stp/>
        <stp>IBOV_B_0</stp>
        <stp>VEN</stp>
        <tr r="AI23" s="1"/>
      </tp>
      <tp t="b">
        <v>0</v>
        <stp/>
        <stp>INDFUT_F_0</stp>
        <stp>PEX</stp>
        <tr r="I25" s="1"/>
      </tp>
      <tp t="b">
        <v>0</v>
        <stp/>
        <stp>BBAS3_B_0</stp>
        <stp>PEX</stp>
        <tr r="I15" s="1"/>
      </tp>
      <tp t="b">
        <v>0</v>
        <stp/>
        <stp>BBDC4_B_0</stp>
        <stp>THETA</stp>
        <tr r="AQ12" s="1"/>
      </tp>
      <tp t="b">
        <v>0</v>
        <stp/>
        <stp>EMBR3_B_0</stp>
        <stp>SEM</stp>
        <tr r="AA2" s="1"/>
      </tp>
      <tp t="b">
        <v>0</v>
        <stp/>
        <stp>GGBR4_B_0</stp>
        <stp>SEM</stp>
        <tr r="AA26" s="1"/>
      </tp>
      <tp t="b">
        <v>0</v>
        <stp/>
        <stp>ECOR3_B_0</stp>
        <stp>THETA</stp>
        <tr r="AQ9" s="1"/>
      </tp>
      <tp t="b">
        <v>0</v>
        <stp/>
        <stp>MRVE3_B_0</stp>
        <stp>SEMES</stp>
        <tr r="AH11" s="1"/>
      </tp>
      <tp t="b">
        <v>0</v>
        <stp/>
        <stp>BRAP4_B_0</stp>
        <stp>PEX</stp>
        <tr r="I14" s="1"/>
      </tp>
      <tp t="b">
        <v>0</v>
        <stp/>
        <stp>BITFUT_F_0</stp>
        <stp>QTE</stp>
        <tr r="Y4" s="2"/>
      </tp>
      <tp t="b">
        <v>0</v>
        <stp/>
        <stp>BITFUT_F_0</stp>
        <stp>QTT</stp>
        <tr r="P4" s="2"/>
      </tp>
      <tp t="b">
        <v>0</v>
        <stp/>
        <stp>BITFUT_F_0</stp>
        <stp>QUL</stp>
        <tr r="O4" s="2"/>
      </tp>
      <tp t="b">
        <v>0</v>
        <stp/>
        <stp>PETR3_B_0</stp>
        <stp>IMPVT</stp>
        <tr r="AN30" s="1"/>
      </tp>
      <tp t="b">
        <v>0</v>
        <stp/>
        <stp>GOAU4_B_0</stp>
        <stp>PEX</stp>
        <tr r="I28" s="1"/>
      </tp>
      <tp t="b">
        <v>0</v>
        <stp/>
        <stp>INDFUT_F_0</stp>
        <stp>QUL</stp>
        <tr r="O25" s="1"/>
      </tp>
      <tp t="b">
        <v>0</v>
        <stp/>
        <stp>INDFUT_F_0</stp>
        <stp>QTE</stp>
        <tr r="Y25" s="1"/>
      </tp>
      <tp t="b">
        <v>0</v>
        <stp/>
        <stp>INDFUT_F_0</stp>
        <stp>QTT</stp>
        <tr r="P25" s="1"/>
      </tp>
      <tp t="b">
        <v>0</v>
        <stp/>
        <stp>EMBR3_B_0</stp>
        <stp>THETA</stp>
        <tr r="AQ2" s="1"/>
      </tp>
      <tp t="b">
        <v>0</v>
        <stp/>
        <stp>WDOFUT_F_0</stp>
        <stp>QUL</stp>
        <tr r="O2" s="2"/>
      </tp>
      <tp t="b">
        <v>0</v>
        <stp/>
        <stp>WINFUT_F_0</stp>
        <stp>QUL</stp>
        <tr r="O3" s="2"/>
      </tp>
      <tp t="b">
        <v>0</v>
        <stp/>
        <stp>LREN3_B_0</stp>
        <stp>DELTA</stp>
        <tr r="AO7" s="1"/>
      </tp>
      <tp t="b">
        <v>0</v>
        <stp/>
        <stp>BRAP4_B_0</stp>
        <stp>THETA</stp>
        <tr r="AQ14" s="1"/>
      </tp>
      <tp t="b">
        <v>0</v>
        <stp/>
        <stp>WINFUT_F_0</stp>
        <stp>QTE</stp>
        <tr r="Y3" s="2"/>
      </tp>
      <tp t="b">
        <v>0</v>
        <stp/>
        <stp>WDOFUT_F_0</stp>
        <stp>QTE</stp>
        <tr r="Y2" s="2"/>
      </tp>
      <tp t="b">
        <v>0</v>
        <stp/>
        <stp>WINFUT_F_0</stp>
        <stp>QTT</stp>
        <tr r="P3" s="2"/>
      </tp>
      <tp t="b">
        <v>0</v>
        <stp/>
        <stp>WDOFUT_F_0</stp>
        <stp>QTT</stp>
        <tr r="P2" s="2"/>
      </tp>
      <tp t="b">
        <v>0</v>
        <stp/>
        <stp>GOAU4_B_0</stp>
        <stp>PRT</stp>
        <tr r="X28" s="1"/>
      </tp>
      <tp t="b">
        <v>0</v>
        <stp/>
        <stp>CYRE3_B_0</stp>
        <stp>CAB</stp>
        <tr r="AK5" s="1"/>
      </tp>
      <tp t="b">
        <v>0</v>
        <stp/>
        <stp>BRAP4_B_0</stp>
        <stp>PRT</stp>
        <tr r="X14" s="1"/>
      </tp>
      <tp t="b">
        <v>0</v>
        <stp/>
        <stp>MGLU3_B_0</stp>
        <stp>SEMES</stp>
        <tr r="AH17" s="1"/>
      </tp>
      <tp t="b">
        <v>0</v>
        <stp/>
        <stp>ITUB4_B_0</stp>
        <stp>DAT</stp>
        <tr r="B18" s="1"/>
      </tp>
      <tp t="b">
        <v>0</v>
        <stp/>
        <stp>CIEL3_B_0</stp>
        <stp>GAMA</stp>
        <tr r="AP8" s="1"/>
      </tp>
      <tp t="b">
        <v>0</v>
        <stp/>
        <stp>BBAS3_B_0</stp>
        <stp>PRT</stp>
        <tr r="X15" s="1"/>
      </tp>
      <tp t="b">
        <v>0</v>
        <stp/>
        <stp>PETR4_B_0</stp>
        <stp>EST</stp>
        <tr r="AL22" s="1"/>
      </tp>
      <tp t="b">
        <v>0</v>
        <stp/>
        <stp>PETR3_B_0</stp>
        <stp>EST</stp>
        <tr r="AL30" s="1"/>
      </tp>
      <tp t="b">
        <v>0</v>
        <stp/>
        <stp>ABEV3_B_0</stp>
        <stp>BLACK</stp>
        <tr r="AM27" s="1"/>
      </tp>
      <tp t="b">
        <v>0</v>
        <stp/>
        <stp>BBDC4_B_0</stp>
        <stp>ULT</stp>
        <tr r="D12" s="1"/>
      </tp>
      <tp t="b">
        <v>0</v>
        <stp/>
        <stp>WDOFUT_F_0</stp>
        <stp>VEN</stp>
        <tr r="AI2" s="2"/>
      </tp>
      <tp t="b">
        <v>0</v>
        <stp/>
        <stp>BITFUT_F_0</stp>
        <stp>VPJ</stp>
        <tr r="Z4" s="2"/>
      </tp>
      <tp t="b">
        <v>0</v>
        <stp/>
        <stp>WINFUT_F_0</stp>
        <stp>VEN</stp>
        <tr r="AI3" s="2"/>
      </tp>
      <tp t="b">
        <v>0</v>
        <stp/>
        <stp>BRFS3_B_0</stp>
        <stp>PEX</stp>
        <tr r="I21" s="1"/>
      </tp>
      <tp t="b">
        <v>0</v>
        <stp/>
        <stp>BBAS3_B_0</stp>
        <stp>THETA</stp>
        <tr r="AQ15" s="1"/>
      </tp>
      <tp t="b">
        <v>0</v>
        <stp/>
        <stp>WDOFUT_F_0</stp>
        <stp>VAL</stp>
        <tr r="AJ2" s="2"/>
      </tp>
      <tp t="b">
        <v>0</v>
        <stp/>
        <stp>WINFUT_F_0</stp>
        <stp>VAL</stp>
        <tr r="AJ3" s="2"/>
      </tp>
      <tp t="b">
        <v>0</v>
        <stp/>
        <stp>WINFUT_F_0</stp>
        <stp>VAR</stp>
        <tr r="J3" s="2"/>
      </tp>
      <tp t="b">
        <v>0</v>
        <stp/>
        <stp>WDOFUT_F_0</stp>
        <stp>VAR</stp>
        <tr r="J2" s="2"/>
      </tp>
      <tp t="b">
        <v>0</v>
        <stp/>
        <stp>ITSA4_B_0</stp>
        <stp>EST</stp>
        <tr r="AL4" s="1"/>
      </tp>
      <tp t="b">
        <v>0</v>
        <stp/>
        <stp>GFSA3_B_0</stp>
        <stp>EST</stp>
        <tr r="AL10" s="1"/>
      </tp>
      <tp t="b">
        <v>0</v>
        <stp/>
        <stp>B3SA3_B_0</stp>
        <stp>EST</stp>
        <tr r="AL29" s="1"/>
      </tp>
      <tp t="b">
        <v>0</v>
        <stp/>
        <stp>ABEV3_B_0</stp>
        <stp>SEM</stp>
        <tr r="AA27" s="1"/>
      </tp>
      <tp t="b">
        <v>0</v>
        <stp/>
        <stp>PETR4_B_0</stp>
        <stp>IMPVT</stp>
        <tr r="AN22" s="1"/>
      </tp>
      <tp t="b">
        <v>0</v>
        <stp/>
        <stp>BBDC4_B_0</stp>
        <stp>VIVH</stp>
        <tr r="AW12" s="1"/>
      </tp>
      <tp t="b">
        <v>0</v>
        <stp/>
        <stp>WDOFUT_F_0</stp>
        <stp>VOL</stp>
        <tr r="Q2" s="2"/>
      </tp>
      <tp t="b">
        <v>0</v>
        <stp/>
        <stp>WINFUT_F_0</stp>
        <stp>VOC</stp>
        <tr r="T3" s="2"/>
      </tp>
      <tp t="b">
        <v>0</v>
        <stp/>
        <stp>WINFUT_F_0</stp>
        <stp>VOL</stp>
        <tr r="Q3" s="2"/>
      </tp>
      <tp t="b">
        <v>0</v>
        <stp/>
        <stp>WDOFUT_F_0</stp>
        <stp>VOC</stp>
        <tr r="T2" s="2"/>
      </tp>
      <tp t="b">
        <v>0</v>
        <stp/>
        <stp>WINFUT_F_0</stp>
        <stp>VOV</stp>
        <tr r="U3" s="2"/>
      </tp>
      <tp t="b">
        <v>0</v>
        <stp/>
        <stp>WDOFUT_F_0</stp>
        <stp>VOV</stp>
        <tr r="U2" s="2"/>
      </tp>
      <tp t="b">
        <v>0</v>
        <stp/>
        <stp>IBOV_B_0</stp>
        <stp>PRT</stp>
        <tr r="X23" s="1"/>
      </tp>
      <tp t="b">
        <v>0</v>
        <stp/>
        <stp>INDFUT_F_0</stp>
        <stp>VPJ</stp>
        <tr r="Z25" s="1"/>
      </tp>
      <tp t="b">
        <v>0</v>
        <stp/>
        <stp>WINFUT_F_0</stp>
        <stp>VIA</stp>
        <tr r="AT3" s="2"/>
      </tp>
      <tp t="b">
        <v>0</v>
        <stp/>
        <stp>WINFUT_F_0</stp>
        <stp>VIB</stp>
        <tr r="AU3" s="2"/>
      </tp>
      <tp t="b">
        <v>0</v>
        <stp/>
        <stp>WDOFUT_F_0</stp>
        <stp>VIA</stp>
        <tr r="AT2" s="2"/>
      </tp>
      <tp t="b">
        <v>0</v>
        <stp/>
        <stp>WDOFUT_F_0</stp>
        <stp>VIB</stp>
        <tr r="AU2" s="2"/>
      </tp>
      <tp t="b">
        <v>0</v>
        <stp/>
        <stp>BBDC4_B_0</stp>
        <stp>VINT</stp>
        <tr r="AX12" s="1"/>
      </tp>
      <tp t="b">
        <v>0</v>
        <stp/>
        <stp>BRFS3_B_0</stp>
        <stp>THETA</stp>
        <tr r="AQ21" s="1"/>
      </tp>
      <tp t="b">
        <v>0</v>
        <stp/>
        <stp>BITFUT_F_0</stp>
        <stp>VAL</stp>
        <tr r="AJ4" s="2"/>
      </tp>
      <tp t="b">
        <v>0</v>
        <stp/>
        <stp>BITFUT_F_0</stp>
        <stp>VAR</stp>
        <tr r="J4" s="2"/>
      </tp>
      <tp t="b">
        <v>0</v>
        <stp/>
        <stp>INDFUT_F_0</stp>
        <stp>VIB</stp>
        <tr r="AU25" s="1"/>
      </tp>
      <tp t="b">
        <v>0</v>
        <stp/>
        <stp>INDFUT_F_0</stp>
        <stp>VIA</stp>
        <tr r="AT25" s="1"/>
      </tp>
      <tp t="b">
        <v>0</v>
        <stp/>
        <stp>CYRE3_B_0</stp>
        <stp>DAT</stp>
        <tr r="B5" s="1"/>
      </tp>
      <tp t="b">
        <v>0</v>
        <stp/>
        <stp>INDFUT_F_0</stp>
        <stp>VOC</stp>
        <tr r="T25" s="1"/>
      </tp>
      <tp t="b">
        <v>0</v>
        <stp/>
        <stp>INDFUT_F_0</stp>
        <stp>VOL</stp>
        <tr r="Q25" s="1"/>
      </tp>
      <tp t="b">
        <v>0</v>
        <stp/>
        <stp>INDFUT_F_0</stp>
        <stp>VOV</stp>
        <tr r="U25" s="1"/>
      </tp>
      <tp t="b">
        <v>0</v>
        <stp/>
        <stp>WDOFUT_F_0</stp>
        <stp>VPJ</stp>
        <tr r="Z2" s="2"/>
      </tp>
      <tp t="b">
        <v>0</v>
        <stp/>
        <stp>WINFUT_F_0</stp>
        <stp>VPJ</stp>
        <tr r="Z3" s="2"/>
      </tp>
      <tp t="b">
        <v>0</v>
        <stp/>
        <stp>BITFUT_F_0</stp>
        <stp>VEN</stp>
        <tr r="AI4" s="2"/>
      </tp>
      <tp t="b">
        <v>0</v>
        <stp/>
        <stp>ITUB4_B_0</stp>
        <stp>CAB</stp>
        <tr r="AK18" s="1"/>
      </tp>
      <tp t="b">
        <v>0</v>
        <stp/>
        <stp>BRFS3_B_0</stp>
        <stp>PRT</stp>
        <tr r="X21" s="1"/>
      </tp>
      <tp t="b">
        <v>0</v>
        <stp/>
        <stp>BITFUT_F_0</stp>
        <stp>VIA</stp>
        <tr r="AT4" s="2"/>
      </tp>
      <tp t="b">
        <v>0</v>
        <stp/>
        <stp>BITFUT_F_0</stp>
        <stp>VIB</stp>
        <tr r="AU4" s="2"/>
      </tp>
      <tp t="b">
        <v>0</v>
        <stp/>
        <stp>INDFUT_F_0</stp>
        <stp>VAL</stp>
        <tr r="AJ25" s="1"/>
      </tp>
      <tp t="b">
        <v>0</v>
        <stp/>
        <stp>INDFUT_F_0</stp>
        <stp>VAR</stp>
        <tr r="J25" s="1"/>
      </tp>
      <tp t="b">
        <v>0</v>
        <stp/>
        <stp>BBDC4_B_0</stp>
        <stp>RHO</stp>
        <tr r="AR12" s="1"/>
      </tp>
      <tp t="b">
        <v>0</v>
        <stp/>
        <stp>LREN3_B_0</stp>
        <stp>SEM</stp>
        <tr r="AA7" s="1"/>
      </tp>
      <tp t="b">
        <v>0</v>
        <stp/>
        <stp>IBOV_B_0</stp>
        <stp>PEX</stp>
        <tr r="I23" s="1"/>
      </tp>
      <tp t="b">
        <v>0</v>
        <stp/>
        <stp>INDFUT_F_0</stp>
        <stp>VEN</stp>
        <tr r="AI25" s="1"/>
      </tp>
      <tp t="b">
        <v>0</v>
        <stp/>
        <stp>BITFUT_F_0</stp>
        <stp>VOC</stp>
        <tr r="T4" s="2"/>
      </tp>
      <tp t="b">
        <v>0</v>
        <stp/>
        <stp>BITFUT_F_0</stp>
        <stp>VOL</stp>
        <tr r="Q4" s="2"/>
      </tp>
      <tp t="b">
        <v>0</v>
        <stp/>
        <stp>BITFUT_F_0</stp>
        <stp>VOV</stp>
        <tr r="U4" s="2"/>
      </tp>
      <tp t="b">
        <v>0</v>
        <stp/>
        <stp>CIEL3_B_0</stp>
        <stp>SEM</stp>
        <tr r="AA8" s="1"/>
      </tp>
      <tp t="b">
        <v>0</v>
        <stp/>
        <stp>B3SA3_B_0</stp>
        <stp>THETA</stp>
        <tr r="AQ29" s="1"/>
      </tp>
      <tp t="b">
        <v>0</v>
        <stp/>
        <stp>CYRE3_B_0</stp>
        <stp>VARPTS</stp>
        <tr r="K5" s="1"/>
      </tp>
      <tp t="b">
        <v>0</v>
        <stp/>
        <stp>VIVT3_B_0</stp>
        <stp>ABE</stp>
        <tr r="E3" s="1"/>
      </tp>
      <tp t="b">
        <v>0</v>
        <stp/>
        <stp>CYRE3_B_0</stp>
        <stp>EST</stp>
        <tr r="AL5" s="1"/>
      </tp>
      <tp t="b">
        <v>0</v>
        <stp/>
        <stp>BBAS3_B_0</stp>
        <stp>VEN</stp>
        <tr r="AI15" s="1"/>
      </tp>
      <tp t="b">
        <v>0</v>
        <stp/>
        <stp>VALE3_B_0</stp>
        <stp>IMPVT</stp>
        <tr r="AN16" s="1"/>
      </tp>
      <tp t="b">
        <v>0</v>
        <stp/>
        <stp>GOAU4_B_0</stp>
        <stp>VAR</stp>
        <tr r="J28" s="1"/>
      </tp>
      <tp t="b">
        <v>0</v>
        <stp/>
        <stp>GOAU4_B_0</stp>
        <stp>VAL</stp>
        <tr r="AJ28" s="1"/>
      </tp>
      <tp t="b">
        <v>0</v>
        <stp/>
        <stp>ITUB4_B_0</stp>
        <stp>VIVH</stp>
        <tr r="AW18" s="1"/>
      </tp>
      <tp t="b">
        <v>0</v>
        <stp/>
        <stp>BRAP4_B_0</stp>
        <stp>VEN</stp>
        <tr r="AI14" s="1"/>
      </tp>
      <tp t="b">
        <v>0</v>
        <stp/>
        <stp>BBAS3_B_0</stp>
        <stp>VAR</stp>
        <tr r="J15" s="1"/>
      </tp>
      <tp t="b">
        <v>0</v>
        <stp/>
        <stp>BBAS3_B_0</stp>
        <stp>VAL</stp>
        <tr r="AJ15" s="1"/>
      </tp>
      <tp t="b">
        <v>0</v>
        <stp/>
        <stp>PETR3_B_0</stp>
        <stp>CAB</stp>
        <tr r="AK30" s="1"/>
      </tp>
      <tp t="b">
        <v>0</v>
        <stp/>
        <stp>PETR4_B_0</stp>
        <stp>CAB</stp>
        <tr r="AK22" s="1"/>
      </tp>
      <tp t="b">
        <v>0</v>
        <stp/>
        <stp>GOAU4_B_0</stp>
        <stp>VEN</stp>
        <tr r="AI28" s="1"/>
      </tp>
      <tp t="b">
        <v>0</v>
        <stp/>
        <stp>SUZB3_B_0</stp>
        <stp>VINT</stp>
        <tr r="AX19" s="1"/>
      </tp>
      <tp t="b">
        <v>0</v>
        <stp/>
        <stp>BRAP4_B_0</stp>
        <stp>VAR</stp>
        <tr r="J14" s="1"/>
      </tp>
      <tp t="b">
        <v>0</v>
        <stp/>
        <stp>BRAP4_B_0</stp>
        <stp>VAL</stp>
        <tr r="AJ14" s="1"/>
      </tp>
      <tp t="b">
        <v>0</v>
        <stp/>
        <stp>EMBR3_B_0</stp>
        <stp>ULT</stp>
        <tr r="D2" s="1"/>
      </tp>
      <tp t="b">
        <v>0</v>
        <stp/>
        <stp>VIVT3_B_0</stp>
        <stp>AJA</stp>
        <tr r="W3" s="1"/>
      </tp>
      <tp t="b">
        <v>0</v>
        <stp/>
        <stp>GGBR4_B_0</stp>
        <stp>ULT</stp>
        <tr r="D26" s="1"/>
      </tp>
      <tp t="b">
        <v>0</v>
        <stp/>
        <stp>ABEV3_B_0</stp>
        <stp>RHO</stp>
        <tr r="AR27" s="1"/>
      </tp>
      <tp t="b">
        <v>0</v>
        <stp/>
        <stp>VIVT3_B_0</stp>
        <stp>AJU</stp>
        <tr r="V3" s="1"/>
      </tp>
      <tp t="b">
        <v>0</v>
        <stp/>
        <stp>BRAP4_B_0</stp>
        <stp>VOV</stp>
        <tr r="U14" s="1"/>
      </tp>
      <tp t="b">
        <v>0</v>
        <stp/>
        <stp>BRAP4_B_0</stp>
        <stp>VOL</stp>
        <tr r="Q14" s="1"/>
      </tp>
      <tp t="b">
        <v>0</v>
        <stp/>
        <stp>BRAP4_B_0</stp>
        <stp>VOC</stp>
        <tr r="T14" s="1"/>
      </tp>
      <tp t="b">
        <v>0</v>
        <stp/>
        <stp>VIVT3_B_0</stp>
        <stp>IMPVT</stp>
        <tr r="AN3" s="1"/>
      </tp>
      <tp t="b">
        <v>0</v>
        <stp/>
        <stp>BBAS3_B_0</stp>
        <stp>VOV</stp>
        <tr r="U15" s="1"/>
      </tp>
      <tp t="b">
        <v>0</v>
        <stp/>
        <stp>BBAS3_B_0</stp>
        <stp>VOL</stp>
        <tr r="Q15" s="1"/>
      </tp>
      <tp t="b">
        <v>0</v>
        <stp/>
        <stp>GOAU4_B_0</stp>
        <stp>VIB</stp>
        <tr r="AU28" s="1"/>
      </tp>
      <tp t="b">
        <v>0</v>
        <stp/>
        <stp>BBAS3_B_0</stp>
        <stp>VOC</stp>
        <tr r="T15" s="1"/>
      </tp>
      <tp t="b">
        <v>0</v>
        <stp/>
        <stp>GOAU4_B_0</stp>
        <stp>VIA</stp>
        <tr r="AT28" s="1"/>
      </tp>
      <tp t="b">
        <v>0</v>
        <stp/>
        <stp>CIEL3_B_0</stp>
        <stp>THETA</stp>
        <tr r="AQ8" s="1"/>
      </tp>
      <tp t="b">
        <v>0</v>
        <stp/>
        <stp>VIVT3_B_0</stp>
        <stp>ANO</stp>
        <tr r="AF3" s="1"/>
      </tp>
      <tp t="b">
        <v>0</v>
        <stp/>
        <stp>GOAU4_B_0</stp>
        <stp>VOV</stp>
        <tr r="U28" s="1"/>
      </tp>
      <tp t="b">
        <v>0</v>
        <stp/>
        <stp>GOAU4_B_0</stp>
        <stp>VOL</stp>
        <tr r="Q28" s="1"/>
      </tp>
      <tp t="b">
        <v>0</v>
        <stp/>
        <stp>BBAS3_B_0</stp>
        <stp>VIA</stp>
        <tr r="AT15" s="1"/>
      </tp>
      <tp t="b">
        <v>0</v>
        <stp/>
        <stp>GOAU4_B_0</stp>
        <stp>VOC</stp>
        <tr r="T28" s="1"/>
      </tp>
      <tp t="b">
        <v>0</v>
        <stp/>
        <stp>BBAS3_B_0</stp>
        <stp>VIB</stp>
        <tr r="AU15" s="1"/>
      </tp>
      <tp t="b">
        <v>0</v>
        <stp/>
        <stp>IBOV_B_0</stp>
        <stp>QTE</stp>
        <tr r="Y23" s="1"/>
      </tp>
      <tp t="b">
        <v>0</v>
        <stp/>
        <stp>IBOV_B_0</stp>
        <stp>QTT</stp>
        <tr r="P23" s="1"/>
      </tp>
      <tp t="b">
        <v>0</v>
        <stp/>
        <stp>IBOV_B_0</stp>
        <stp>QUL</stp>
        <tr r="O23" s="1"/>
      </tp>
      <tp t="b">
        <v>0</v>
        <stp/>
        <stp>LREN3_B_0</stp>
        <stp>VEXT</stp>
        <tr r="AY7" s="1"/>
      </tp>
      <tp t="b">
        <v>0</v>
        <stp/>
        <stp>BRAP4_B_0</stp>
        <stp>VIB</stp>
        <tr r="AU14" s="1"/>
      </tp>
      <tp t="b">
        <v>0</v>
        <stp/>
        <stp>BRAP4_B_0</stp>
        <stp>VIA</stp>
        <tr r="AT14" s="1"/>
      </tp>
      <tp t="b">
        <v>0</v>
        <stp/>
        <stp>LREN3_B_0</stp>
        <stp>VEGA</stp>
        <tr r="AS7" s="1"/>
      </tp>
      <tp t="b">
        <v>0</v>
        <stp/>
        <stp>BBDC4_B_0</stp>
        <stp>SEM</stp>
        <tr r="AA12" s="1"/>
      </tp>
      <tp t="b">
        <v>0</v>
        <stp/>
        <stp>BRFS3_B_0</stp>
        <stp>QUL</stp>
        <tr r="O21" s="1"/>
      </tp>
      <tp t="b">
        <v>0</v>
        <stp/>
        <stp>LREN3_B_0</stp>
        <stp>RHO</stp>
        <tr r="AR7" s="1"/>
      </tp>
      <tp t="b">
        <v>0</v>
        <stp/>
        <stp>SUZB3_B_0</stp>
        <stp>MED</stp>
        <tr r="L19" s="1"/>
      </tp>
      <tp t="b">
        <v>0</v>
        <stp/>
        <stp>BRFS3_B_0</stp>
        <stp>QTT</stp>
        <tr r="P21" s="1"/>
      </tp>
      <tp t="b">
        <v>0</v>
        <stp/>
        <stp>MRVE3_B_0</stp>
        <stp>ABE</stp>
        <tr r="E11" s="1"/>
      </tp>
      <tp t="b">
        <v>0</v>
        <stp/>
        <stp>SUZB3_B_0</stp>
        <stp>MES</stp>
        <tr r="AB19" s="1"/>
      </tp>
      <tp t="b">
        <v>0</v>
        <stp/>
        <stp>BRFS3_B_0</stp>
        <stp>QTE</stp>
        <tr r="Y21" s="1"/>
      </tp>
      <tp t="b">
        <v>0</v>
        <stp/>
        <stp>CSNA3_B_0</stp>
        <stp>THETA</stp>
        <tr r="AQ6" s="1"/>
      </tp>
      <tp t="b">
        <v>0</v>
        <stp/>
        <stp>CIEL3_B_0</stp>
        <stp>RHO</stp>
        <tr r="AR8" s="1"/>
      </tp>
      <tp t="b">
        <v>0</v>
        <stp/>
        <stp>GOAU4_B_0</stp>
        <stp>VPJ</stp>
        <tr r="Z28" s="1"/>
      </tp>
      <tp t="b">
        <v>0</v>
        <stp/>
        <stp>GFSA3_B_0</stp>
        <stp>BLACK</stp>
        <tr r="AM10" s="1"/>
      </tp>
      <tp t="b">
        <v>0</v>
        <stp/>
        <stp>SUZB3_B_0</stp>
        <stp>MAX</stp>
        <tr r="F19" s="1"/>
      </tp>
      <tp t="b">
        <v>0</v>
        <stp/>
        <stp>BBAS3_B_0</stp>
        <stp>VPJ</stp>
        <tr r="Z15" s="1"/>
      </tp>
      <tp t="b">
        <v>0</v>
        <stp/>
        <stp>ITSA4_B_0</stp>
        <stp>DAT</stp>
        <tr r="B4" s="1"/>
      </tp>
      <tp t="b">
        <v>0</v>
        <stp/>
        <stp>GFSA3_B_0</stp>
        <stp>DAT</stp>
        <tr r="B10" s="1"/>
      </tp>
      <tp t="b">
        <v>0</v>
        <stp/>
        <stp>B3SA3_B_0</stp>
        <stp>DAT</stp>
        <tr r="B29" s="1"/>
      </tp>
      <tp t="b">
        <v>0</v>
        <stp/>
        <stp>BRAP4_B_0</stp>
        <stp>VPJ</stp>
        <tr r="Z14" s="1"/>
      </tp>
      <tp t="b">
        <v>0</v>
        <stp/>
        <stp>MRVE3_B_0</stp>
        <stp>AJU</stp>
        <tr r="V11" s="1"/>
      </tp>
      <tp t="b">
        <v>0</v>
        <stp/>
        <stp>MRVE3_B_0</stp>
        <stp>AJA</stp>
        <tr r="W11" s="1"/>
      </tp>
      <tp t="b">
        <v>0</v>
        <stp/>
        <stp>ITUB4_B_0</stp>
        <stp>VINT</stp>
        <tr r="AX18" s="1"/>
      </tp>
      <tp t="b">
        <v>0</v>
        <stp/>
        <stp>CYRE3_B_0</stp>
        <stp>THETA</stp>
        <tr r="AQ5" s="1"/>
      </tp>
      <tp t="b">
        <v>0</v>
        <stp/>
        <stp>SUZB3_B_0</stp>
        <stp>MIN</stp>
        <tr r="G19" s="1"/>
      </tp>
      <tp t="b">
        <v>0</v>
        <stp/>
        <stp>MRVE3_B_0</stp>
        <stp>ANO</stp>
        <tr r="AF11" s="1"/>
      </tp>
      <tp t="b">
        <v>0</v>
        <stp/>
        <stp>SUZB3_B_0</stp>
        <stp>VIVH</stp>
        <tr r="AW19" s="1"/>
      </tp>
      <tp t="b">
        <v>0</v>
        <stp/>
        <stp>IBOV_B_0</stp>
        <stp>VEGA</stp>
        <tr r="AS23" s="1"/>
      </tp>
      <tp t="b">
        <v>0</v>
        <stp/>
        <stp>IBOV_B_0</stp>
        <stp>VEXT</stp>
        <tr r="AY23" s="1"/>
      </tp>
      <tp t="b">
        <v>0</v>
        <stp/>
        <stp>INDFUT_F_0</stp>
        <stp>VEGA</stp>
        <tr r="AS25" s="1"/>
      </tp>
      <tp t="b">
        <v>0</v>
        <stp/>
        <stp>INDFUT_F_0</stp>
        <stp>VEXT</stp>
        <tr r="AY25" s="1"/>
      </tp>
      <tp t="b">
        <v>0</v>
        <stp/>
        <stp>EMBR3_B_0</stp>
        <stp>VEN</stp>
        <tr r="AI2" s="1"/>
      </tp>
      <tp t="b">
        <v>0</v>
        <stp/>
        <stp>GGBR4_B_0</stp>
        <stp>VEN</stp>
        <tr r="AI26" s="1"/>
      </tp>
      <tp t="b">
        <v>0</v>
        <stp/>
        <stp>ITSA4_B_0</stp>
        <stp>VIVH</stp>
        <tr r="AW4" s="1"/>
      </tp>
      <tp t="b">
        <v>0</v>
        <stp/>
        <stp>GGBR4_B_0</stp>
        <stp>VAR</stp>
        <tr r="J26" s="1"/>
      </tp>
      <tp t="b">
        <v>0</v>
        <stp/>
        <stp>EMBR3_B_0</stp>
        <stp>VAR</stp>
        <tr r="J2" s="1"/>
      </tp>
      <tp t="b">
        <v>0</v>
        <stp/>
        <stp>EMBR3_B_0</stp>
        <stp>VAL</stp>
        <tr r="AJ2" s="1"/>
      </tp>
      <tp t="b">
        <v>0</v>
        <stp/>
        <stp>GGBR4_B_0</stp>
        <stp>VAL</stp>
        <tr r="AJ26" s="1"/>
      </tp>
      <tp t="b">
        <v>0</v>
        <stp/>
        <stp>GGBR4_B_0</stp>
        <stp>THETA</stp>
        <tr r="AQ26" s="1"/>
      </tp>
      <tp t="b">
        <v>0</v>
        <stp/>
        <stp>BBDC4_B_0</stp>
        <stp>PRT</stp>
        <tr r="X12" s="1"/>
      </tp>
      <tp t="b">
        <v>0</v>
        <stp/>
        <stp>BBAS3_B_0</stp>
        <stp>ULT</stp>
        <tr r="D15" s="1"/>
      </tp>
      <tp t="b">
        <v>0</v>
        <stp/>
        <stp>BRAP4_B_0</stp>
        <stp>ULT</stp>
        <tr r="D14" s="1"/>
      </tp>
      <tp t="b">
        <v>0</v>
        <stp/>
        <stp>GFSA3_B_0</stp>
        <stp>VIVH</stp>
        <tr r="AW10" s="1"/>
      </tp>
      <tp t="b">
        <v>0</v>
        <stp/>
        <stp>EMBR3_B_0</stp>
        <stp>VOV</stp>
        <tr r="U2" s="1"/>
      </tp>
      <tp t="b">
        <v>0</v>
        <stp/>
        <stp>GGBR4_B_0</stp>
        <stp>VOV</stp>
        <tr r="U26" s="1"/>
      </tp>
      <tp t="b">
        <v>0</v>
        <stp/>
        <stp>EMBR3_B_0</stp>
        <stp>VOL</stp>
        <tr r="Q2" s="1"/>
      </tp>
      <tp t="b">
        <v>0</v>
        <stp/>
        <stp>GGBR4_B_0</stp>
        <stp>VOL</stp>
        <tr r="Q26" s="1"/>
      </tp>
      <tp t="b">
        <v>0</v>
        <stp/>
        <stp>GGBR4_B_0</stp>
        <stp>VOC</stp>
        <tr r="T26" s="1"/>
      </tp>
      <tp t="b">
        <v>0</v>
        <stp/>
        <stp>EMBR3_B_0</stp>
        <stp>VOC</stp>
        <tr r="T2" s="1"/>
      </tp>
      <tp t="b">
        <v>0</v>
        <stp/>
        <stp>LREN3_B_0</stp>
        <stp>QTT</stp>
        <tr r="P7" s="1"/>
      </tp>
      <tp t="b">
        <v>0</v>
        <stp/>
        <stp>LREN3_B_0</stp>
        <stp>QTE</stp>
        <tr r="Y7" s="1"/>
      </tp>
      <tp t="b">
        <v>0</v>
        <stp/>
        <stp>BRFS3_B_0</stp>
        <stp>RHO</stp>
        <tr r="AR21" s="1"/>
      </tp>
      <tp t="b">
        <v>0</v>
        <stp/>
        <stp>GGBR4_B_0</stp>
        <stp>VIB</stp>
        <tr r="AU26" s="1"/>
      </tp>
      <tp t="b">
        <v>0</v>
        <stp/>
        <stp>GGBR4_B_0</stp>
        <stp>VIA</stp>
        <tr r="AT26" s="1"/>
      </tp>
      <tp t="b">
        <v>0</v>
        <stp/>
        <stp>LREN3_B_0</stp>
        <stp>QUL</stp>
        <tr r="O7" s="1"/>
      </tp>
      <tp t="b">
        <v>0</v>
        <stp/>
        <stp>EMBR3_B_0</stp>
        <stp>VIB</stp>
        <tr r="AU2" s="1"/>
      </tp>
      <tp t="b">
        <v>0</v>
        <stp/>
        <stp>EMBR3_B_0</stp>
        <stp>VIA</stp>
        <tr r="AT2" s="1"/>
      </tp>
      <tp t="b">
        <v>0</v>
        <stp/>
        <stp>GOAU4_B_0</stp>
        <stp>THETA</stp>
        <tr r="AQ28" s="1"/>
      </tp>
      <tp t="b">
        <v>0</v>
        <stp/>
        <stp>CSNA3_B_0</stp>
        <stp>VIVH</stp>
        <tr r="AW6" s="1"/>
      </tp>
      <tp t="b">
        <v>0</v>
        <stp/>
        <stp>CIEL3_B_0</stp>
        <stp>QTT</stp>
        <tr r="P8" s="1"/>
      </tp>
      <tp t="b">
        <v>0</v>
        <stp/>
        <stp>CIEL3_B_0</stp>
        <stp>QTE</stp>
        <tr r="Y8" s="1"/>
      </tp>
      <tp t="b">
        <v>0</v>
        <stp/>
        <stp>USIM5_B_0</stp>
        <stp>VEGA</stp>
        <tr r="AS24" s="1"/>
      </tp>
      <tp t="b">
        <v>0</v>
        <stp/>
        <stp>GOAU4_B_0</stp>
        <stp>ULT</stp>
        <tr r="D28" s="1"/>
      </tp>
      <tp t="b">
        <v>0</v>
        <stp/>
        <stp>CIEL3_B_0</stp>
        <stp>QUL</stp>
        <tr r="O8" s="1"/>
      </tp>
      <tp t="b">
        <v>0</v>
        <stp/>
        <stp>B3SA3_B_0</stp>
        <stp>VIVH</stp>
        <tr r="AW29" s="1"/>
      </tp>
      <tp t="b">
        <v>0</v>
        <stp/>
        <stp>BBDC4_B_0</stp>
        <stp>PEX</stp>
        <tr r="I12" s="1"/>
      </tp>
      <tp t="b">
        <v>0</v>
        <stp/>
        <stp>USIM5_B_0</stp>
        <stp>VEXT</stp>
        <tr r="AY24" s="1"/>
      </tp>
      <tp t="b">
        <v>0</v>
        <stp/>
        <stp>IBOV_B_0</stp>
        <stp>RHO</stp>
        <tr r="AR23" s="1"/>
      </tp>
      <tp t="b">
        <v>0</v>
        <stp/>
        <stp>SUZB3_B_0</stp>
        <stp>NEG</stp>
        <tr r="N19" s="1"/>
      </tp>
      <tp t="b">
        <v>0</v>
        <stp/>
        <stp>GFSA3_B_0</stp>
        <stp>VINT</stp>
        <tr r="AX10" s="1"/>
      </tp>
      <tp t="b">
        <v>0</v>
        <stp/>
        <stp>ABEV3_B_0</stp>
        <stp>QTT</stp>
        <tr r="P27" s="1"/>
      </tp>
      <tp t="b">
        <v>0</v>
        <stp/>
        <stp>GGBR4_B_0</stp>
        <stp>VPJ</stp>
        <tr r="Z26" s="1"/>
      </tp>
      <tp t="b">
        <v>0</v>
        <stp/>
        <stp>EMBR3_B_0</stp>
        <stp>VPJ</stp>
        <tr r="Z2" s="1"/>
      </tp>
      <tp t="b">
        <v>0</v>
        <stp/>
        <stp>ABEV3_B_0</stp>
        <stp>QTE</stp>
        <tr r="Y27" s="1"/>
      </tp>
      <tp t="b">
        <v>0</v>
        <stp/>
        <stp>ABEV3_B_0</stp>
        <stp>QUL</stp>
        <tr r="O27" s="1"/>
      </tp>
      <tp t="b">
        <v>0</v>
        <stp/>
        <stp>CSNA3_B_0</stp>
        <stp>VINT</stp>
        <tr r="AX6" s="1"/>
      </tp>
      <tp t="b">
        <v>0</v>
        <stp/>
        <stp>ITUB4_B_0</stp>
        <stp>ABE</stp>
        <tr r="E18" s="1"/>
      </tp>
      <tp t="b">
        <v>0</v>
        <stp/>
        <stp>CYRE3_B_0</stp>
        <stp>FEC</stp>
        <tr r="H5" s="1"/>
      </tp>
      <tp t="b">
        <v>0</v>
        <stp/>
        <stp>B3SA3_B_0</stp>
        <stp>VINT</stp>
        <tr r="AX29" s="1"/>
      </tp>
      <tp t="b">
        <v>0</v>
        <stp/>
        <stp>CMIG4_B_0</stp>
        <stp>BLACK</stp>
        <tr r="AM20" s="1"/>
      </tp>
      <tp t="b">
        <v>0</v>
        <stp/>
        <stp>ITUB4_B_0</stp>
        <stp>ANO</stp>
        <tr r="AF18" s="1"/>
      </tp>
      <tp t="b">
        <v>0</v>
        <stp/>
        <stp>ITSA4_B_0</stp>
        <stp>VINT</stp>
        <tr r="AX4" s="1"/>
      </tp>
      <tp t="b">
        <v>0</v>
        <stp/>
        <stp>ITUB4_B_0</stp>
        <stp>AJU</stp>
        <tr r="V18" s="1"/>
      </tp>
      <tp t="b">
        <v>0</v>
        <stp/>
        <stp>ITUB4_B_0</stp>
        <stp>AJA</stp>
        <tr r="W18" s="1"/>
      </tp>
      <tp t="b">
        <v>0</v>
        <stp/>
        <stp>CYRE3_B_0</stp>
        <stp>DOBRAR</stp>
        <tr r="AV5" s="1"/>
      </tp>
      <tp t="b">
        <v>0</v>
        <stp/>
        <stp>CIEL3_B_0</stp>
        <stp>VEXT</stp>
        <tr r="AY8" s="1"/>
      </tp>
      <tp t="b">
        <v>0</v>
        <stp/>
        <stp>BBDC4_B_0</stp>
        <stp>QUL</stp>
        <tr r="O12" s="1"/>
      </tp>
      <tp t="b">
        <v>0</v>
        <stp/>
        <stp>BRFS3_B_0</stp>
        <stp>SEM</stp>
        <tr r="AA21" s="1"/>
      </tp>
      <tp t="b">
        <v>0</v>
        <stp/>
        <stp>ABEV3_B_0</stp>
        <stp>THETA</stp>
        <tr r="AQ27" s="1"/>
      </tp>
      <tp t="b">
        <v>0</v>
        <stp/>
        <stp>BBDC4_B_0</stp>
        <stp>QTT</stp>
        <tr r="P12" s="1"/>
      </tp>
      <tp t="b">
        <v>0</v>
        <stp/>
        <stp>BBDC4_B_0</stp>
        <stp>QTE</stp>
        <tr r="Y12" s="1"/>
      </tp>
      <tp t="b">
        <v>0</v>
        <stp/>
        <stp>SUZB3_B_0</stp>
        <stp>OVD</stp>
        <tr r="S19" s="1"/>
      </tp>
      <tp t="b">
        <v>0</v>
        <stp/>
        <stp>VIVT3_B_0</stp>
        <stp>CAB</stp>
        <tr r="AK3" s="1"/>
      </tp>
      <tp t="b">
        <v>0</v>
        <stp/>
        <stp>ABEV3_B_0</stp>
        <stp>PEX</stp>
        <tr r="I27" s="1"/>
      </tp>
      <tp t="b">
        <v>0</v>
        <stp/>
        <stp>PETR4_B_0</stp>
        <stp>ABE</stp>
        <tr r="E22" s="1"/>
      </tp>
      <tp t="b">
        <v>0</v>
        <stp/>
        <stp>PETR3_B_0</stp>
        <stp>ABE</stp>
        <tr r="E30" s="1"/>
      </tp>
      <tp t="b">
        <v>0</v>
        <stp/>
        <stp>BRAP4_B_0</stp>
        <stp>BLACK</stp>
        <tr r="AM14" s="1"/>
      </tp>
      <tp t="b">
        <v>0</v>
        <stp/>
        <stp>CIEL3_B_0</stp>
        <stp>PRT</stp>
        <tr r="X8" s="1"/>
      </tp>
      <tp t="b">
        <v>0</v>
        <stp/>
        <stp>WINFUT_F_0</stp>
        <stp>ULT</stp>
        <tr r="D3" s="2"/>
      </tp>
      <tp t="b">
        <v>0</v>
        <stp/>
        <stp>WDOFUT_F_0</stp>
        <stp>ULT</stp>
        <tr r="D2" s="2"/>
      </tp>
      <tp t="b">
        <v>0</v>
        <stp/>
        <stp>LREN3_B_0</stp>
        <stp>PRT</stp>
        <tr r="X7" s="1"/>
      </tp>
      <tp t="b">
        <v>0</v>
        <stp/>
        <stp>PETR4_B_0</stp>
        <stp>ANO</stp>
        <tr r="AF22" s="1"/>
      </tp>
      <tp t="b">
        <v>0</v>
        <stp/>
        <stp>PETR3_B_0</stp>
        <stp>ANO</stp>
        <tr r="AF30" s="1"/>
      </tp>
      <tp t="b">
        <v>0</v>
        <stp/>
        <stp>PETR3_B_0</stp>
        <stp>AJA</stp>
        <tr r="W30" s="1"/>
      </tp>
      <tp t="b">
        <v>0</v>
        <stp/>
        <stp>PETR4_B_0</stp>
        <stp>AJA</stp>
        <tr r="W22" s="1"/>
      </tp>
      <tp t="b">
        <v>0</v>
        <stp/>
        <stp>PETR4_B_0</stp>
        <stp>AJU</stp>
        <tr r="V22" s="1"/>
      </tp>
      <tp t="b">
        <v>0</v>
        <stp/>
        <stp>PETR3_B_0</stp>
        <stp>AJU</stp>
        <tr r="V30" s="1"/>
      </tp>
      <tp t="b">
        <v>0</v>
        <stp/>
        <stp>ABEV3_B_0</stp>
        <stp>PRT</stp>
        <tr r="X27" s="1"/>
      </tp>
      <tp t="b">
        <v>0</v>
        <stp/>
        <stp>MRVE3_B_0</stp>
        <stp>CAB</stp>
        <tr r="AK11" s="1"/>
      </tp>
      <tp t="b">
        <v>0</v>
        <stp/>
        <stp>ITSA4_B_0</stp>
        <stp>FEC</stp>
        <tr r="H4" s="1"/>
      </tp>
      <tp t="b">
        <v>0</v>
        <stp/>
        <stp>B3SA3_B_0</stp>
        <stp>FEC</stp>
        <tr r="H29" s="1"/>
      </tp>
      <tp t="b">
        <v>0</v>
        <stp/>
        <stp>GFSA3_B_0</stp>
        <stp>FEC</stp>
        <tr r="H10" s="1"/>
      </tp>
      <tp t="b">
        <v>0</v>
        <stp/>
        <stp>ECOR3_B_0</stp>
        <stp>BLACK</stp>
        <tr r="AM9" s="1"/>
      </tp>
      <tp t="b">
        <v>0</v>
        <stp/>
        <stp>INDFUT_F_0</stp>
        <stp>ULT</stp>
        <tr r="D25" s="1"/>
      </tp>
      <tp t="b">
        <v>0</v>
        <stp/>
        <stp>SUZB3_B_0</stp>
        <stp>OCP</stp>
        <tr r="R19" s="1"/>
      </tp>
      <tp t="b">
        <v>0</v>
        <stp/>
        <stp>BBDC4_B_0</stp>
        <stp>BLACK</stp>
        <tr r="AM12" s="1"/>
      </tp>
      <tp t="b">
        <v>0</v>
        <stp/>
        <stp>EMBR3_B_0</stp>
        <stp>BLACK</stp>
        <tr r="AM2" s="1"/>
      </tp>
      <tp t="b">
        <v>0</v>
        <stp/>
        <stp>BITFUT_F_0</stp>
        <stp>ULT</stp>
        <tr r="D4" s="2"/>
      </tp>
      <tp t="b">
        <v>0</v>
        <stp/>
        <stp>LREN3_B_0</stp>
        <stp>PEX</stp>
        <tr r="I7" s="1"/>
      </tp>
      <tp t="b">
        <v>0</v>
        <stp/>
        <stp>IBOV_B_0</stp>
        <stp>SEM</stp>
        <tr r="AA23" s="1"/>
      </tp>
      <tp t="b">
        <v>0</v>
        <stp/>
        <stp>CIEL3_B_0</stp>
        <stp>PEX</stp>
        <tr r="I8" s="1"/>
      </tp>
      <tp t="b">
        <v>0</v>
        <stp/>
        <stp>CIEL3_B_0</stp>
        <stp>VEGA</stp>
        <tr r="AS8" s="1"/>
      </tp>
      <tp t="b">
        <v>0</v>
        <stp/>
        <stp>SUZB3_B_0</stp>
        <stp>12M</stp>
        <tr r="AE19" s="1"/>
      </tp>
      <tp t="b">
        <v>0</v>
        <stp/>
        <stp>IBOV_B_0</stp>
        <stp>DELTA</stp>
        <tr r="AO23" s="1"/>
      </tp>
      <tp t="b">
        <v>0</v>
        <stp/>
        <stp>IBOV_B_0</stp>
        <stp>SEMES</stp>
        <tr r="AH23" s="1"/>
      </tp>
      <tp t="b">
        <v>0</v>
        <stp/>
        <stp>GFSA3_B_0</stp>
        <stp>12M</stp>
        <tr r="AE10" s="1"/>
      </tp>
      <tp t="b">
        <v>0</v>
        <stp/>
        <stp>B3SA3_B_0</stp>
        <stp>12M</stp>
        <tr r="AE29" s="1"/>
      </tp>
      <tp t="b">
        <v>0</v>
        <stp/>
        <stp>ITSA4_B_0</stp>
        <stp>12M</stp>
        <tr r="AE4" s="1"/>
      </tp>
      <tp t="b">
        <v>0</v>
        <stp/>
        <stp>CYRE3_B_0</stp>
        <stp>12M</stp>
        <tr r="AE5" s="1"/>
      </tp>
      <tp t="b">
        <v>0</v>
        <stp/>
        <stp>IBOV_B_0</stp>
        <stp>THETA</stp>
        <tr r="AQ23" s="1"/>
      </tp>
      <tp t="b">
        <v>0</v>
        <stp/>
        <stp>MRVE3_B_0</stp>
        <stp>12M</stp>
        <tr r="AE11" s="1"/>
      </tp>
      <tp t="b">
        <v>0</v>
        <stp/>
        <stp>VIVT3_B_0</stp>
        <stp>12M</stp>
        <tr r="AE3" s="1"/>
      </tp>
      <tp t="b">
        <v>0</v>
        <stp/>
        <stp>ITUB4_B_0</stp>
        <stp>12M</stp>
        <tr r="AE18" s="1"/>
      </tp>
      <tp t="b">
        <v>0</v>
        <stp/>
        <stp>PETR4_B_0</stp>
        <stp>12M</stp>
        <tr r="AE22" s="1"/>
      </tp>
      <tp t="b">
        <v>0</v>
        <stp/>
        <stp>PETR3_B_0</stp>
        <stp>12M</stp>
        <tr r="AE30" s="1"/>
      </tp>
      <tp t="b">
        <v>0</v>
        <stp/>
        <stp>IBOV_B_0</stp>
        <stp>BLACK</stp>
        <tr r="AM23" s="1"/>
      </tp>
      <tp t="b">
        <v>0</v>
        <stp/>
        <stp>CMIG4_B_0</stp>
        <stp>12M</stp>
        <tr r="AE20" s="1"/>
      </tp>
      <tp t="b">
        <v>0</v>
        <stp/>
        <stp>USIM5_B_0</stp>
        <stp>12M</stp>
        <tr r="AE24" s="1"/>
      </tp>
      <tp t="b">
        <v>0</v>
        <stp/>
        <stp>ECOR3_B_0</stp>
        <stp>12M</stp>
        <tr r="AE9" s="1"/>
      </tp>
      <tp t="b">
        <v>0</v>
        <stp/>
        <stp>B3SA3_B_0</stp>
        <stp>DOBRAR</stp>
        <tr r="AV29" s="1"/>
      </tp>
      <tp t="b">
        <v>0</v>
        <stp/>
        <stp>CSNA3_B_0</stp>
        <stp>12M</stp>
        <tr r="AE6" s="1"/>
      </tp>
      <tp t="b">
        <v>0</v>
        <stp/>
        <stp>RENT3_B_0</stp>
        <stp>12M</stp>
        <tr r="AE13" s="1"/>
      </tp>
      <tp t="b">
        <v>0</v>
        <stp/>
        <stp>B3SA3_B_0</stp>
        <stp>VARPTS</stp>
        <tr r="K29" s="1"/>
      </tp>
      <tp t="b">
        <v>0</v>
        <stp/>
        <stp>VALE3_B_0</stp>
        <stp>12M</stp>
        <tr r="AE16" s="1"/>
      </tp>
      <tp t="b">
        <v>0</v>
        <stp/>
        <stp>MGLU3_B_0</stp>
        <stp>12M</stp>
        <tr r="AE17" s="1"/>
      </tp>
      <tp t="b">
        <v>0</v>
        <stp/>
        <stp>EMBR3_B_0</stp>
        <stp>12M</stp>
        <tr r="AE2" s="1"/>
      </tp>
      <tp t="b">
        <v>0</v>
        <stp/>
        <stp>GGBR4_B_0</stp>
        <stp>12M</stp>
        <tr r="AE26" s="1"/>
      </tp>
      <tp t="b">
        <v>0</v>
        <stp/>
        <stp>GOAU4_B_0</stp>
        <stp>12M</stp>
        <tr r="AE28" s="1"/>
      </tp>
      <tp t="b">
        <v>0</v>
        <stp/>
        <stp>BRAP4_B_0</stp>
        <stp>12M</stp>
        <tr r="AE14" s="1"/>
      </tp>
      <tp t="b">
        <v>0</v>
        <stp/>
        <stp>BBAS3_B_0</stp>
        <stp>12M</stp>
        <tr r="AE15" s="1"/>
      </tp>
      <tp t="b">
        <v>0</v>
        <stp/>
        <stp>BITFUT_F_0</stp>
        <stp>12M</stp>
        <tr r="AE4" s="2"/>
      </tp>
      <tp t="b">
        <v>0</v>
        <stp/>
        <stp>INDFUT_F_0</stp>
        <stp>12M</stp>
        <tr r="AE25" s="1"/>
      </tp>
      <tp t="b">
        <v>0</v>
        <stp/>
        <stp>WDOFUT_F_0</stp>
        <stp>12M</stp>
        <tr r="AE2" s="2"/>
      </tp>
      <tp t="b">
        <v>0</v>
        <stp/>
        <stp>WINFUT_F_0</stp>
        <stp>12M</stp>
        <tr r="AE3" s="2"/>
      </tp>
      <tp t="b">
        <v>0</v>
        <stp/>
        <stp>IBOV_B_0</stp>
        <stp>12M</stp>
        <tr r="AE23" s="1"/>
      </tp>
      <tp t="b">
        <v>0</v>
        <stp/>
        <stp>BRFS3_B_0</stp>
        <stp>12M</stp>
        <tr r="AE21" s="1"/>
      </tp>
      <tp t="b">
        <v>0</v>
        <stp/>
        <stp>CIEL3_B_0</stp>
        <stp>12M</stp>
        <tr r="AE8" s="1"/>
      </tp>
      <tp t="b">
        <v>0</v>
        <stp/>
        <stp>LREN3_B_0</stp>
        <stp>12M</stp>
        <tr r="AE7" s="1"/>
      </tp>
      <tp t="b">
        <v>0</v>
        <stp/>
        <stp>ABEV3_B_0</stp>
        <stp>12M</stp>
        <tr r="AE27" s="1"/>
      </tp>
      <tp t="b">
        <v>0</v>
        <stp/>
        <stp>IBOV_B_0</stp>
        <stp>IMPVT</stp>
        <tr r="AN23" s="1"/>
      </tp>
      <tp t="b">
        <v>0</v>
        <stp/>
        <stp>BBDC4_B_0</stp>
        <stp>12M</stp>
        <tr r="AE12" s="1"/>
      </tp>
      <tp t="b">
        <v>0</v>
        <stp/>
        <stp>BITFUT_F_0</stp>
        <stp>3M</stp>
        <tr r="AC4" s="2"/>
      </tp>
      <tp t="b">
        <v>0</v>
        <stp/>
        <stp>BITFUT_F_0</stp>
        <stp>6M</stp>
        <tr r="AD4" s="2"/>
      </tp>
      <tp t="b">
        <v>0</v>
        <stp/>
        <stp>BITFUT_F_0</stp>
        <stp>67</stp>
        <tr r="AZ4" s="2"/>
        <tr r="BA4" s="2"/>
      </tp>
      <tp t="b">
        <v>0</v>
        <stp/>
        <stp>USIM5_B_0</stp>
        <stp>3M</stp>
        <tr r="AC24" s="1"/>
      </tp>
      <tp t="b">
        <v>0</v>
        <stp/>
        <stp>CSNA3_B_0</stp>
        <stp>6M</stp>
        <tr r="AD6" s="1"/>
      </tp>
      <tp t="b">
        <v>0</v>
        <stp/>
        <stp>CSNA3_B_0</stp>
        <stp>67</stp>
        <tr r="AZ6" s="1"/>
      </tp>
      <tp t="b">
        <v>0</v>
        <stp/>
        <stp>USIM5_B_0</stp>
        <stp>6M</stp>
        <tr r="AD24" s="1"/>
      </tp>
      <tp t="b">
        <v>0</v>
        <stp/>
        <stp>USIM5_B_0</stp>
        <stp>67</stp>
        <tr r="AZ24" s="1"/>
      </tp>
      <tp t="b">
        <v>0</v>
        <stp/>
        <stp>CSNA3_B_0</stp>
        <stp>3M</stp>
        <tr r="AC6" s="1"/>
      </tp>
      <tp t="b">
        <v>0</v>
        <stp/>
        <stp>MRVE3_B_0</stp>
        <stp>6M</stp>
        <tr r="AD11" s="1"/>
      </tp>
      <tp t="b">
        <v>0</v>
        <stp/>
        <stp>MRVE3_B_0</stp>
        <stp>67</stp>
        <tr r="AZ11" s="1"/>
      </tp>
      <tp t="b">
        <v>0</v>
        <stp/>
        <stp>MRVE3_B_0</stp>
        <stp>3M</stp>
        <tr r="AC11" s="1"/>
      </tp>
      <tp t="b">
        <v>0</v>
        <stp/>
        <stp>BRAP4_B_0</stp>
        <stp>3M</stp>
        <tr r="AC14" s="1"/>
      </tp>
      <tp t="b">
        <v>0</v>
        <stp/>
        <stp>LREN3_B_0</stp>
        <stp>6M</stp>
        <tr r="AD7" s="1"/>
      </tp>
      <tp t="b">
        <v>0</v>
        <stp/>
        <stp>LREN3_B_0</stp>
        <stp>67</stp>
        <tr r="AZ7" s="1"/>
      </tp>
      <tp t="b">
        <v>0</v>
        <stp/>
        <stp>BRFS3_B_0</stp>
        <stp>6M</stp>
        <tr r="AD21" s="1"/>
      </tp>
      <tp t="b">
        <v>0</v>
        <stp/>
        <stp>BRFS3_B_0</stp>
        <stp>67</stp>
        <tr r="AZ21" s="1"/>
      </tp>
      <tp t="b">
        <v>0</v>
        <stp/>
        <stp>LREN3_B_0</stp>
        <stp>3M</stp>
        <tr r="AC7" s="1"/>
      </tp>
      <tp t="b">
        <v>0</v>
        <stp/>
        <stp>BRAP4_B_0</stp>
        <stp>6M</stp>
        <tr r="AD14" s="1"/>
      </tp>
      <tp t="b">
        <v>0</v>
        <stp/>
        <stp>BRAP4_B_0</stp>
        <stp>67</stp>
        <tr r="AZ14" s="1"/>
      </tp>
      <tp t="b">
        <v>0</v>
        <stp/>
        <stp>BRFS3_B_0</stp>
        <stp>3M</stp>
        <tr r="AC21" s="1"/>
      </tp>
      <tp t="b">
        <v>0</v>
        <stp/>
        <stp>SUZB3_B_0</stp>
        <stp>3M</stp>
        <tr r="AC19" s="1"/>
      </tp>
      <tp t="b">
        <v>0</v>
        <stp/>
        <stp>SUZB3_B_0</stp>
        <stp>6M</stp>
        <tr r="AD19" s="1"/>
      </tp>
      <tp t="b">
        <v>0</v>
        <stp/>
        <stp>SUZB3_B_0</stp>
        <stp>67</stp>
        <tr r="AZ19" s="1"/>
      </tp>
      <tp t="b">
        <v>0</v>
        <stp/>
        <stp>ITUB4_B_0</stp>
        <stp>6M</stp>
        <tr r="AD18" s="1"/>
      </tp>
      <tp t="b">
        <v>0</v>
        <stp/>
        <stp>ITUB4_B_0</stp>
        <stp>67</stp>
        <tr r="AZ18" s="1"/>
      </tp>
      <tp t="b">
        <v>0</v>
        <stp/>
        <stp>ITSA4_B_0</stp>
        <stp>3M</stp>
        <tr r="AC4" s="1"/>
      </tp>
      <tp t="b">
        <v>0</v>
        <stp/>
        <stp>ITUB4_B_0</stp>
        <stp>3M</stp>
        <tr r="AC18" s="1"/>
      </tp>
      <tp t="b">
        <v>0</v>
        <stp/>
        <stp>ITSA4_B_0</stp>
        <stp>6M</stp>
        <tr r="AD4" s="1"/>
      </tp>
      <tp t="b">
        <v>0</v>
        <stp/>
        <stp>ITSA4_B_0</stp>
        <stp>67</stp>
        <tr r="AZ4" s="1"/>
      </tp>
      <tp t="b">
        <v>0</v>
        <stp/>
        <stp>CYRE3_B_0</stp>
        <stp>3M</stp>
        <tr r="AC5" s="1"/>
      </tp>
      <tp t="b">
        <v>0</v>
        <stp/>
        <stp>CYRE3_B_0</stp>
        <stp>6M</stp>
        <tr r="AD5" s="1"/>
      </tp>
      <tp t="b">
        <v>0</v>
        <stp/>
        <stp>CYRE3_B_0</stp>
        <stp>67</stp>
        <tr r="AZ5" s="1"/>
      </tp>
      <tp t="b">
        <v>0</v>
        <stp/>
        <stp>VALE3_B_0</stp>
        <stp>6M</stp>
        <tr r="AD16" s="1"/>
      </tp>
      <tp t="b">
        <v>0</v>
        <stp/>
        <stp>VALE3_B_0</stp>
        <stp>67</stp>
        <tr r="AZ16" s="1"/>
      </tp>
      <tp t="b">
        <v>0</v>
        <stp/>
        <stp>VALE3_B_0</stp>
        <stp>3M</stp>
        <tr r="AC16" s="1"/>
      </tp>
      <tp t="b">
        <v>0</v>
        <stp/>
        <stp>INDFUT_F_0</stp>
        <stp>3M</stp>
        <tr r="AC25" s="1"/>
      </tp>
      <tp t="b">
        <v>0</v>
        <stp/>
        <stp>INDFUT_F_0</stp>
        <stp>6M</stp>
        <tr r="AD25" s="1"/>
      </tp>
      <tp t="b">
        <v>0</v>
        <stp/>
        <stp>INDFUT_F_0</stp>
        <stp>67</stp>
        <tr r="AZ25" s="1"/>
      </tp>
      <tp t="b">
        <v>0</v>
        <stp/>
        <stp>ECOR3_B_0</stp>
        <stp>6M</stp>
        <tr r="AD9" s="1"/>
      </tp>
      <tp t="b">
        <v>0</v>
        <stp/>
        <stp>ECOR3_B_0</stp>
        <stp>67</stp>
        <tr r="AZ9" s="1"/>
      </tp>
      <tp t="b">
        <v>0</v>
        <stp/>
        <stp>ECOR3_B_0</stp>
        <stp>3M</stp>
        <tr r="AC9" s="1"/>
      </tp>
      <tp t="b">
        <v>0</v>
        <stp/>
        <stp>BBAS3_B_0</stp>
        <stp>3M</stp>
        <tr r="AC15" s="1"/>
      </tp>
      <tp t="b">
        <v>0</v>
        <stp/>
        <stp>BBDC4_B_0</stp>
        <stp>6M</stp>
        <tr r="AD12" s="1"/>
      </tp>
      <tp t="b">
        <v>0</v>
        <stp/>
        <stp>BBDC4_B_0</stp>
        <stp>67</stp>
        <tr r="AZ12" s="1"/>
      </tp>
      <tp t="b">
        <v>0</v>
        <stp/>
        <stp>ABEV3_B_0</stp>
        <stp>6M</stp>
        <tr r="AD27" s="1"/>
      </tp>
      <tp t="b">
        <v>0</v>
        <stp/>
        <stp>ABEV3_B_0</stp>
        <stp>67</stp>
        <tr r="AZ27" s="1"/>
      </tp>
      <tp t="b">
        <v>0</v>
        <stp/>
        <stp>ABEV3_B_0</stp>
        <stp>3M</stp>
        <tr r="AC27" s="1"/>
      </tp>
      <tp t="b">
        <v>0</v>
        <stp/>
        <stp>BBAS3_B_0</stp>
        <stp>6M</stp>
        <tr r="AD15" s="1"/>
      </tp>
      <tp t="b">
        <v>0</v>
        <stp/>
        <stp>BBDC4_B_0</stp>
        <stp>3M</stp>
        <tr r="AC12" s="1"/>
      </tp>
      <tp t="b">
        <v>0</v>
        <stp/>
        <stp>BBAS3_B_0</stp>
        <stp>67</stp>
        <tr r="AZ15" s="1"/>
      </tp>
      <tp t="b">
        <v>0</v>
        <stp/>
        <stp>PETR3_B_0</stp>
        <stp>6M</stp>
        <tr r="AD30" s="1"/>
      </tp>
      <tp t="b">
        <v>0</v>
        <stp/>
        <stp>PETR4_B_0</stp>
        <stp>6M</stp>
        <tr r="AD22" s="1"/>
      </tp>
      <tp t="b">
        <v>0</v>
        <stp/>
        <stp>PETR3_B_0</stp>
        <stp>67</stp>
        <tr r="AZ30" s="1"/>
      </tp>
      <tp t="b">
        <v>0</v>
        <stp/>
        <stp>PETR4_B_0</stp>
        <stp>67</stp>
        <tr r="AZ22" s="1"/>
      </tp>
      <tp t="b">
        <v>0</v>
        <stp/>
        <stp>PETR3_B_0</stp>
        <stp>3M</stp>
        <tr r="AC30" s="1"/>
      </tp>
      <tp t="b">
        <v>0</v>
        <stp/>
        <stp>PETR4_B_0</stp>
        <stp>3M</stp>
        <tr r="AC22" s="1"/>
      </tp>
      <tp t="b">
        <v>0</v>
        <stp/>
        <stp>RENT3_B_0</stp>
        <stp>6M</stp>
        <tr r="AD13" s="1"/>
      </tp>
      <tp t="b">
        <v>0</v>
        <stp/>
        <stp>RENT3_B_0</stp>
        <stp>67</stp>
        <tr r="AZ13" s="1"/>
      </tp>
      <tp t="b">
        <v>0</v>
        <stp/>
        <stp>RENT3_B_0</stp>
        <stp>3M</stp>
        <tr r="AC13" s="1"/>
      </tp>
      <tp t="b">
        <v>0</v>
        <stp/>
        <stp>MGLU3_B_0</stp>
        <stp>6M</stp>
        <tr r="AD17" s="1"/>
      </tp>
      <tp t="b">
        <v>0</v>
        <stp/>
        <stp>MGLU3_B_0</stp>
        <stp>67</stp>
        <tr r="AZ17" s="1"/>
      </tp>
      <tp t="b">
        <v>0</v>
        <stp/>
        <stp>MGLU3_B_0</stp>
        <stp>3M</stp>
        <tr r="AC17" s="1"/>
      </tp>
      <tp t="b">
        <v>0</v>
        <stp/>
        <stp>GGBR4_B_0</stp>
        <stp>3M</stp>
        <tr r="AC26" s="1"/>
      </tp>
      <tp t="b">
        <v>0</v>
        <stp/>
        <stp>GGBR4_B_0</stp>
        <stp>6M</stp>
        <tr r="AD26" s="1"/>
      </tp>
      <tp t="b">
        <v>0</v>
        <stp/>
        <stp>GGBR4_B_0</stp>
        <stp>67</stp>
        <tr r="AZ26" s="1"/>
      </tp>
      <tp t="b">
        <v>0</v>
        <stp/>
        <stp>GFSA3_B_0</stp>
        <stp>3M</stp>
        <tr r="AC10" s="1"/>
      </tp>
      <tp t="b">
        <v>0</v>
        <stp/>
        <stp>GFSA3_B_0</stp>
        <stp>6M</stp>
        <tr r="AD10" s="1"/>
      </tp>
      <tp t="b">
        <v>0</v>
        <stp/>
        <stp>GFSA3_B_0</stp>
        <stp>67</stp>
        <tr r="AZ10" s="1"/>
      </tp>
      <tp t="b">
        <v>0</v>
        <stp/>
        <stp>VIVT3_B_0</stp>
        <stp>6M</stp>
        <tr r="AD3" s="1"/>
      </tp>
      <tp t="b">
        <v>0</v>
        <stp/>
        <stp>VIVT3_B_0</stp>
        <stp>67</stp>
        <tr r="AZ3" s="1"/>
      </tp>
      <tp t="b">
        <v>0</v>
        <stp/>
        <stp>VIVT3_B_0</stp>
        <stp>3M</stp>
        <tr r="AC3" s="1"/>
      </tp>
      <tp t="b">
        <v>0</v>
        <stp/>
        <stp>CIEL3_B_0</stp>
        <stp>6M</stp>
        <tr r="AD8" s="1"/>
      </tp>
      <tp t="b">
        <v>0</v>
        <stp/>
        <stp>CIEL3_B_0</stp>
        <stp>67</stp>
        <tr r="AZ8" s="1"/>
      </tp>
      <tp t="b">
        <v>0</v>
        <stp/>
        <stp>CIEL3_B_0</stp>
        <stp>3M</stp>
        <tr r="AC8" s="1"/>
      </tp>
      <tp t="b">
        <v>0</v>
        <stp/>
        <stp>IBOV_B_0</stp>
        <stp>VARPTS</stp>
        <tr r="K23" s="1"/>
      </tp>
      <tp t="b">
        <v>0</v>
        <stp/>
        <stp>WDOFUT_F_0</stp>
        <stp>3M</stp>
        <tr r="AC2" s="2"/>
      </tp>
      <tp t="b">
        <v>0</v>
        <stp/>
        <stp>WDOFUT_F_0</stp>
        <stp>6M</stp>
        <tr r="AD2" s="2"/>
      </tp>
      <tp t="b">
        <v>0</v>
        <stp/>
        <stp>WDOFUT_F_0</stp>
        <stp>67</stp>
        <tr r="AZ2" s="2"/>
        <tr r="BA2" s="2"/>
      </tp>
      <tp t="b">
        <v>0</v>
        <stp/>
        <stp>IBOV_B_0</stp>
        <stp>DOBRAR</stp>
        <tr r="AV23" s="1"/>
      </tp>
      <tp t="b">
        <v>0</v>
        <stp/>
        <stp>WINFUT_F_0</stp>
        <stp>3M</stp>
        <tr r="AC3" s="2"/>
      </tp>
      <tp t="b">
        <v>0</v>
        <stp/>
        <stp>WINFUT_F_0</stp>
        <stp>6M</stp>
        <tr r="AD3" s="2"/>
      </tp>
      <tp t="b">
        <v>0</v>
        <stp/>
        <stp>WINFUT_F_0</stp>
        <stp>67</stp>
        <tr r="AZ3" s="2"/>
        <tr r="BA3" s="2"/>
      </tp>
      <tp t="b">
        <v>0</v>
        <stp/>
        <stp>CMIG4_B_0</stp>
        <stp>3M</stp>
        <tr r="AC20" s="1"/>
      </tp>
      <tp t="b">
        <v>0</v>
        <stp/>
        <stp>CMIG4_B_0</stp>
        <stp>6M</stp>
        <tr r="AD20" s="1"/>
      </tp>
      <tp t="b">
        <v>0</v>
        <stp/>
        <stp>CMIG4_B_0</stp>
        <stp>67</stp>
        <tr r="AZ20" s="1"/>
      </tp>
      <tp t="b">
        <v>0</v>
        <stp/>
        <stp>EMBR3_B_0</stp>
        <stp>3M</stp>
        <tr r="AC2" s="1"/>
      </tp>
      <tp t="b">
        <v>0</v>
        <stp/>
        <stp>EMBR3_B_0</stp>
        <stp>6M</stp>
        <tr r="AD2" s="1"/>
      </tp>
      <tp t="b">
        <v>0</v>
        <stp/>
        <stp>EMBR3_B_0</stp>
        <stp>67</stp>
        <tr r="AZ2" s="1"/>
      </tp>
      <tp t="b">
        <v>0</v>
        <stp/>
        <stp>GOAU4_B_0</stp>
        <stp>3M</stp>
        <tr r="AC28" s="1"/>
      </tp>
      <tp t="b">
        <v>0</v>
        <stp/>
        <stp>GOAU4_B_0</stp>
        <stp>6M</stp>
        <tr r="AD28" s="1"/>
      </tp>
      <tp t="b">
        <v>0</v>
        <stp/>
        <stp>GOAU4_B_0</stp>
        <stp>67</stp>
        <tr r="AZ28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8"/>
  <sheetViews>
    <sheetView tabSelected="1" workbookViewId="0">
      <selection activeCell="K38" sqref="K38"/>
    </sheetView>
  </sheetViews>
  <sheetFormatPr defaultRowHeight="14.5" x14ac:dyDescent="0.35"/>
  <cols>
    <col min="13" max="13" width="19.6328125" bestFit="1" customWidth="1"/>
  </cols>
  <sheetData>
    <row r="1" spans="1:5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5">
      <c r="A2" t="s">
        <v>58</v>
      </c>
      <c r="B2" t="str">
        <f>RTD("rtdtrading.rtdserver",, "EMBR3_B_0", "DAT")</f>
        <v>30/12/1899</v>
      </c>
      <c r="C2" t="str">
        <f>RTD("rtdtrading.rtdserver",, "EMBR3_B_0", "HOR")</f>
        <v>00:00:00</v>
      </c>
      <c r="D2">
        <f>RTD("rtdtrading.rtdserver",, "EMBR3_B_0", "ULT")</f>
        <v>0</v>
      </c>
      <c r="E2">
        <f>RTD("rtdtrading.rtdserver",, "EMBR3_B_0", "ABE")</f>
        <v>0</v>
      </c>
      <c r="F2">
        <f>RTD("rtdtrading.rtdserver",, "EMBR3_B_0", "MAX")</f>
        <v>0</v>
      </c>
      <c r="G2">
        <f>RTD("rtdtrading.rtdserver",, "EMBR3_B_0", "MIN")</f>
        <v>0</v>
      </c>
      <c r="H2">
        <f>RTD("rtdtrading.rtdserver",, "EMBR3_B_0", "FEC")</f>
        <v>0</v>
      </c>
      <c r="I2">
        <f>RTD("rtdtrading.rtdserver",, "EMBR3_B_0", "PEX")</f>
        <v>0</v>
      </c>
      <c r="J2">
        <f>RTD("rtdtrading.rtdserver",, "EMBR3_B_0", "VAR")</f>
        <v>0</v>
      </c>
      <c r="K2">
        <f>RTD("rtdtrading.rtdserver",, "EMBR3_B_0", "VARPTS")</f>
        <v>0</v>
      </c>
      <c r="L2">
        <f>RTD("rtdtrading.rtdserver",, "EMBR3_B_0", "MED")</f>
        <v>0</v>
      </c>
      <c r="M2" t="s">
        <v>59</v>
      </c>
      <c r="N2">
        <f>RTD("rtdtrading.rtdserver",, "EMBR3_B_0", "NEG")</f>
        <v>0</v>
      </c>
      <c r="O2">
        <f>RTD("rtdtrading.rtdserver",, "EMBR3_B_0", "QUL")</f>
        <v>0</v>
      </c>
      <c r="P2">
        <f>RTD("rtdtrading.rtdserver",, "EMBR3_B_0", "QTT")</f>
        <v>0</v>
      </c>
      <c r="Q2">
        <f>RTD("rtdtrading.rtdserver",, "EMBR3_B_0", "VOL")</f>
        <v>0</v>
      </c>
      <c r="R2">
        <f>RTD("rtdtrading.rtdserver",, "EMBR3_B_0", "OCP")</f>
        <v>0</v>
      </c>
      <c r="S2">
        <f>RTD("rtdtrading.rtdserver",, "EMBR3_B_0", "OVD")</f>
        <v>0</v>
      </c>
      <c r="T2">
        <f>RTD("rtdtrading.rtdserver",, "EMBR3_B_0", "VOC")</f>
        <v>0</v>
      </c>
      <c r="U2">
        <f>RTD("rtdtrading.rtdserver",, "EMBR3_B_0", "VOV")</f>
        <v>0</v>
      </c>
      <c r="V2">
        <f>RTD("rtdtrading.rtdserver",, "EMBR3_B_0", "AJU")</f>
        <v>0</v>
      </c>
      <c r="W2">
        <f>RTD("rtdtrading.rtdserver",, "EMBR3_B_0", "AJA")</f>
        <v>0</v>
      </c>
      <c r="X2">
        <f>RTD("rtdtrading.rtdserver",, "EMBR3_B_0", "PRT")</f>
        <v>0</v>
      </c>
      <c r="Y2">
        <f>RTD("rtdtrading.rtdserver",, "EMBR3_B_0", "QTE")</f>
        <v>0</v>
      </c>
      <c r="Z2">
        <f>RTD("rtdtrading.rtdserver",, "EMBR3_B_0", "VPJ")</f>
        <v>0</v>
      </c>
      <c r="AA2">
        <f>RTD("rtdtrading.rtdserver",, "EMBR3_B_0", "SEM")</f>
        <v>0</v>
      </c>
      <c r="AB2">
        <f>RTD("rtdtrading.rtdserver",, "EMBR3_B_0", "MES")</f>
        <v>0</v>
      </c>
      <c r="AC2">
        <f>RTD("rtdtrading.rtdserver",, "EMBR3_B_0", "3M")</f>
        <v>0</v>
      </c>
      <c r="AD2">
        <f>RTD("rtdtrading.rtdserver",, "EMBR3_B_0", "6M")</f>
        <v>0</v>
      </c>
      <c r="AE2">
        <f>RTD("rtdtrading.rtdserver",, "EMBR3_B_0", "12M")</f>
        <v>0</v>
      </c>
      <c r="AF2">
        <f>RTD("rtdtrading.rtdserver",, "EMBR3_B_0", "ANO")</f>
        <v>0</v>
      </c>
      <c r="AG2">
        <f>RTD("rtdtrading.rtdserver",, "EMBR3_B_0", "TRIM")</f>
        <v>0</v>
      </c>
      <c r="AH2">
        <f>RTD("rtdtrading.rtdserver",, "EMBR3_B_0", "SEMES")</f>
        <v>0</v>
      </c>
      <c r="AI2" t="str">
        <f>RTD("rtdtrading.rtdserver",, "EMBR3_B_0", "VEN")</f>
        <v>-</v>
      </c>
      <c r="AJ2" t="str">
        <f>RTD("rtdtrading.rtdserver",, "EMBR3_B_0", "VAL")</f>
        <v>31/12/9999</v>
      </c>
      <c r="AK2">
        <f>RTD("rtdtrading.rtdserver",, "EMBR3_B_0", "CAB")</f>
        <v>0</v>
      </c>
      <c r="AL2" t="str">
        <f>RTD("rtdtrading.rtdserver",, "EMBR3_B_0", "EST")</f>
        <v>NONE</v>
      </c>
      <c r="AM2" t="str">
        <f>RTD("rtdtrading.rtdserver",, "EMBR3_B_0", "BLACK")</f>
        <v>-</v>
      </c>
      <c r="AN2" t="str">
        <f>RTD("rtdtrading.rtdserver",, "EMBR3_B_0", "IMPVT")</f>
        <v>-</v>
      </c>
      <c r="AO2" t="str">
        <f>RTD("rtdtrading.rtdserver",, "EMBR3_B_0", "DELTA")</f>
        <v>-</v>
      </c>
      <c r="AP2" t="str">
        <f>RTD("rtdtrading.rtdserver",, "EMBR3_B_0", "GAMA")</f>
        <v>-</v>
      </c>
      <c r="AQ2" t="str">
        <f>RTD("rtdtrading.rtdserver",, "EMBR3_B_0", "THETA")</f>
        <v>-</v>
      </c>
      <c r="AR2" t="str">
        <f>RTD("rtdtrading.rtdserver",, "EMBR3_B_0", "RHO")</f>
        <v>-</v>
      </c>
      <c r="AS2" t="str">
        <f>RTD("rtdtrading.rtdserver",, "EMBR3_B_0", "VEGA")</f>
        <v>-</v>
      </c>
      <c r="AT2" t="str">
        <f>RTD("rtdtrading.rtdserver",, "EMBR3_B_0", "VIA")</f>
        <v>-</v>
      </c>
      <c r="AU2" t="str">
        <f>RTD("rtdtrading.rtdserver",, "EMBR3_B_0", "VIB")</f>
        <v>-</v>
      </c>
      <c r="AV2" t="str">
        <f>RTD("rtdtrading.rtdserver",, "EMBR3_B_0", "DOBRAR")</f>
        <v>-</v>
      </c>
      <c r="AW2" t="str">
        <f>RTD("rtdtrading.rtdserver",, "EMBR3_B_0", "VIVH")</f>
        <v>-</v>
      </c>
      <c r="AX2" t="str">
        <f>RTD("rtdtrading.rtdserver",, "EMBR3_B_0", "VINT")</f>
        <v>-</v>
      </c>
      <c r="AY2" t="str">
        <f>RTD("rtdtrading.rtdserver",, "EMBR3_B_0", "VEXT")</f>
        <v>-</v>
      </c>
      <c r="AZ2" t="str">
        <f>RTD("rtdtrading.rtdserver",, "EMBR3_B_0", "67")</f>
        <v>87,17</v>
      </c>
    </row>
    <row r="3" spans="1:52" x14ac:dyDescent="0.35">
      <c r="A3" t="s">
        <v>60</v>
      </c>
      <c r="B3" t="str">
        <f>RTD("rtdtrading.rtdserver",, "VIVT3_B_0", "DAT")</f>
        <v>19/02/2026</v>
      </c>
      <c r="C3" t="str">
        <f>RTD("rtdtrading.rtdserver",, "VIVT3_B_0", "HOR")</f>
        <v>10:14:31</v>
      </c>
      <c r="D3">
        <f>RTD("rtdtrading.rtdserver",, "VIVT3_B_0", "ULT")</f>
        <v>40.75</v>
      </c>
      <c r="E3">
        <f>RTD("rtdtrading.rtdserver",, "VIVT3_B_0", "ABE")</f>
        <v>40.729999999999997</v>
      </c>
      <c r="F3">
        <f>RTD("rtdtrading.rtdserver",, "VIVT3_B_0", "MAX")</f>
        <v>40.82</v>
      </c>
      <c r="G3">
        <f>RTD("rtdtrading.rtdserver",, "VIVT3_B_0", "MIN")</f>
        <v>40.619999999999997</v>
      </c>
      <c r="H3">
        <f>RTD("rtdtrading.rtdserver",, "VIVT3_B_0", "FEC")</f>
        <v>40.580000000000005</v>
      </c>
      <c r="I3">
        <f>RTD("rtdtrading.rtdserver",, "VIVT3_B_0", "PEX")</f>
        <v>0</v>
      </c>
      <c r="J3">
        <f>RTD("rtdtrading.rtdserver",, "VIVT3_B_0", "VAR")</f>
        <v>0.418925579102993</v>
      </c>
      <c r="K3">
        <f>RTD("rtdtrading.rtdserver",, "VIVT3_B_0", "VARPTS")</f>
        <v>0.1699999999999946</v>
      </c>
      <c r="L3">
        <f>RTD("rtdtrading.rtdserver",, "VIVT3_B_0", "MED")</f>
        <v>40.713473282442749</v>
      </c>
      <c r="M3" t="s">
        <v>61</v>
      </c>
      <c r="N3">
        <f>RTD("rtdtrading.rtdserver",, "VIVT3_B_0", "NEG")</f>
        <v>144</v>
      </c>
      <c r="O3">
        <f>RTD("rtdtrading.rtdserver",, "VIVT3_B_0", "QUL")</f>
        <v>100</v>
      </c>
      <c r="P3">
        <f>RTD("rtdtrading.rtdserver",, "VIVT3_B_0", "QTT")</f>
        <v>26200</v>
      </c>
      <c r="Q3">
        <f>RTD("rtdtrading.rtdserver",, "VIVT3_B_0", "VOL")</f>
        <v>1066693</v>
      </c>
      <c r="R3">
        <f>RTD("rtdtrading.rtdserver",, "VIVT3_B_0", "OCP")</f>
        <v>40.72</v>
      </c>
      <c r="S3">
        <f>RTD("rtdtrading.rtdserver",, "VIVT3_B_0", "OVD")</f>
        <v>40.75</v>
      </c>
      <c r="T3">
        <f>RTD("rtdtrading.rtdserver",, "VIVT3_B_0", "VOC")</f>
        <v>700</v>
      </c>
      <c r="U3">
        <f>RTD("rtdtrading.rtdserver",, "VIVT3_B_0", "VOV")</f>
        <v>300</v>
      </c>
      <c r="V3">
        <f>RTD("rtdtrading.rtdserver",, "VIVT3_B_0", "AJU")</f>
        <v>0</v>
      </c>
      <c r="W3">
        <f>RTD("rtdtrading.rtdserver",, "VIVT3_B_0", "AJA")</f>
        <v>0</v>
      </c>
      <c r="X3">
        <f>RTD("rtdtrading.rtdserver",, "VIVT3_B_0", "PRT")</f>
        <v>0</v>
      </c>
      <c r="Y3">
        <f>RTD("rtdtrading.rtdserver",, "VIVT3_B_0", "QTE")</f>
        <v>0</v>
      </c>
      <c r="Z3">
        <f>RTD("rtdtrading.rtdserver",, "VIVT3_B_0", "VPJ")</f>
        <v>27522532.262742817</v>
      </c>
      <c r="AA3">
        <f>RTD("rtdtrading.rtdserver",, "VIVT3_B_0", "SEM")</f>
        <v>-0.58550866064894358</v>
      </c>
      <c r="AB3">
        <f>RTD("rtdtrading.rtdserver",, "VIVT3_B_0", "MES")</f>
        <v>9.0155163188870979</v>
      </c>
      <c r="AC3">
        <f>RTD("rtdtrading.rtdserver",, "VIVT3_B_0", "3M")</f>
        <v>19.173302840565132</v>
      </c>
      <c r="AD3">
        <f>RTD("rtdtrading.rtdserver",, "VIVT3_B_0", "6M")</f>
        <v>21.687196715192218</v>
      </c>
      <c r="AE3">
        <f>RTD("rtdtrading.rtdserver",, "VIVT3_B_0", "12M")</f>
        <v>60.457076255502798</v>
      </c>
      <c r="AF3">
        <f>RTD("rtdtrading.rtdserver",, "VIVT3_B_0", "ANO")</f>
        <v>23.111782477341382</v>
      </c>
      <c r="AG3">
        <f>RTD("rtdtrading.rtdserver",, "VIVT3_B_0", "TRIM")</f>
        <v>23.111782477341382</v>
      </c>
      <c r="AH3">
        <f>RTD("rtdtrading.rtdserver",, "VIVT3_B_0", "SEMES")</f>
        <v>23.111782477341382</v>
      </c>
      <c r="AI3" t="str">
        <f>RTD("rtdtrading.rtdserver",, "VIVT3_B_0", "VEN")</f>
        <v>-</v>
      </c>
      <c r="AJ3" t="str">
        <f>RTD("rtdtrading.rtdserver",, "VIVT3_B_0", "VAL")</f>
        <v>31/12/9999</v>
      </c>
      <c r="AK3">
        <f>RTD("rtdtrading.rtdserver",, "VIVT3_B_0", "CAB")</f>
        <v>0</v>
      </c>
      <c r="AL3" t="str">
        <f>RTD("rtdtrading.rtdserver",, "VIVT3_B_0", "EST")</f>
        <v>Aberto</v>
      </c>
      <c r="AM3" t="str">
        <f>RTD("rtdtrading.rtdserver",, "VIVT3_B_0", "BLACK")</f>
        <v>-</v>
      </c>
      <c r="AN3" t="str">
        <f>RTD("rtdtrading.rtdserver",, "VIVT3_B_0", "IMPVT")</f>
        <v>-</v>
      </c>
      <c r="AO3" t="str">
        <f>RTD("rtdtrading.rtdserver",, "VIVT3_B_0", "DELTA")</f>
        <v>-</v>
      </c>
      <c r="AP3" t="str">
        <f>RTD("rtdtrading.rtdserver",, "VIVT3_B_0", "GAMA")</f>
        <v>-</v>
      </c>
      <c r="AQ3" t="str">
        <f>RTD("rtdtrading.rtdserver",, "VIVT3_B_0", "THETA")</f>
        <v>-</v>
      </c>
      <c r="AR3" t="str">
        <f>RTD("rtdtrading.rtdserver",, "VIVT3_B_0", "RHO")</f>
        <v>-</v>
      </c>
      <c r="AS3" t="str">
        <f>RTD("rtdtrading.rtdserver",, "VIVT3_B_0", "VEGA")</f>
        <v>-</v>
      </c>
      <c r="AT3" t="str">
        <f>RTD("rtdtrading.rtdserver",, "VIVT3_B_0", "VIA")</f>
        <v>-</v>
      </c>
      <c r="AU3" t="str">
        <f>RTD("rtdtrading.rtdserver",, "VIVT3_B_0", "VIB")</f>
        <v>-</v>
      </c>
      <c r="AV3" t="str">
        <f>RTD("rtdtrading.rtdserver",, "VIVT3_B_0", "DOBRAR")</f>
        <v>-</v>
      </c>
      <c r="AW3" t="str">
        <f>RTD("rtdtrading.rtdserver",, "VIVT3_B_0", "VIVH")</f>
        <v>-</v>
      </c>
      <c r="AX3" t="str">
        <f>RTD("rtdtrading.rtdserver",, "VIVT3_B_0", "VINT")</f>
        <v>-</v>
      </c>
      <c r="AY3" t="str">
        <f>RTD("rtdtrading.rtdserver",, "VIVT3_B_0", "VEXT")</f>
        <v>-</v>
      </c>
      <c r="AZ3" t="str">
        <f>RTD("rtdtrading.rtdserver",, "VIVT3_B_0", "67")</f>
        <v>40,71</v>
      </c>
    </row>
    <row r="4" spans="1:52" x14ac:dyDescent="0.35">
      <c r="A4" t="s">
        <v>62</v>
      </c>
      <c r="B4" t="str">
        <f>RTD("rtdtrading.rtdserver",, "ITSA4_B_0", "DAT")</f>
        <v>19/02/2026</v>
      </c>
      <c r="C4" t="str">
        <f>RTD("rtdtrading.rtdserver",, "ITSA4_B_0", "HOR")</f>
        <v>10:14:33</v>
      </c>
      <c r="D4">
        <f>RTD("rtdtrading.rtdserver",, "ITSA4_B_0", "ULT")</f>
        <v>14.59</v>
      </c>
      <c r="E4">
        <f>RTD("rtdtrading.rtdserver",, "ITSA4_B_0", "ABE")</f>
        <v>14.61</v>
      </c>
      <c r="F4">
        <f>RTD("rtdtrading.rtdserver",, "ITSA4_B_0", "MAX")</f>
        <v>14.65</v>
      </c>
      <c r="G4">
        <f>RTD("rtdtrading.rtdserver",, "ITSA4_B_0", "MIN")</f>
        <v>14.56</v>
      </c>
      <c r="H4">
        <f>RTD("rtdtrading.rtdserver",, "ITSA4_B_0", "FEC")</f>
        <v>14.59</v>
      </c>
      <c r="I4">
        <f>RTD("rtdtrading.rtdserver",, "ITSA4_B_0", "PEX")</f>
        <v>0</v>
      </c>
      <c r="J4">
        <f>RTD("rtdtrading.rtdserver",, "ITSA4_B_0", "VAR")</f>
        <v>0</v>
      </c>
      <c r="K4">
        <f>RTD("rtdtrading.rtdserver",, "ITSA4_B_0", "VARPTS")</f>
        <v>0</v>
      </c>
      <c r="L4">
        <f>RTD("rtdtrading.rtdserver",, "ITSA4_B_0", "MED")</f>
        <v>14.605478211658177</v>
      </c>
      <c r="M4" t="s">
        <v>63</v>
      </c>
      <c r="N4">
        <f>RTD("rtdtrading.rtdserver",, "ITSA4_B_0", "NEG")</f>
        <v>269</v>
      </c>
      <c r="O4">
        <f>RTD("rtdtrading.rtdserver",, "ITSA4_B_0", "QUL")</f>
        <v>100</v>
      </c>
      <c r="P4">
        <f>RTD("rtdtrading.rtdserver",, "ITSA4_B_0", "QTT")</f>
        <v>176700</v>
      </c>
      <c r="Q4">
        <f>RTD("rtdtrading.rtdserver",, "ITSA4_B_0", "VOL")</f>
        <v>2580788</v>
      </c>
      <c r="R4">
        <f>RTD("rtdtrading.rtdserver",, "ITSA4_B_0", "OCP")</f>
        <v>14.59</v>
      </c>
      <c r="S4">
        <f>RTD("rtdtrading.rtdserver",, "ITSA4_B_0", "OVD")</f>
        <v>14.6</v>
      </c>
      <c r="T4">
        <f>RTD("rtdtrading.rtdserver",, "ITSA4_B_0", "VOC")</f>
        <v>800</v>
      </c>
      <c r="U4">
        <f>RTD("rtdtrading.rtdserver",, "ITSA4_B_0", "VOV")</f>
        <v>24700</v>
      </c>
      <c r="V4">
        <f>RTD("rtdtrading.rtdserver",, "ITSA4_B_0", "AJU")</f>
        <v>0</v>
      </c>
      <c r="W4">
        <f>RTD("rtdtrading.rtdserver",, "ITSA4_B_0", "AJA")</f>
        <v>0</v>
      </c>
      <c r="X4">
        <f>RTD("rtdtrading.rtdserver",, "ITSA4_B_0", "PRT")</f>
        <v>0</v>
      </c>
      <c r="Y4">
        <f>RTD("rtdtrading.rtdserver",, "ITSA4_B_0", "QTE")</f>
        <v>0</v>
      </c>
      <c r="Z4">
        <f>RTD("rtdtrading.rtdserver",, "ITSA4_B_0", "VPJ")</f>
        <v>66436261.578550726</v>
      </c>
      <c r="AA4">
        <f>RTD("rtdtrading.rtdserver",, "ITSA4_B_0", "SEM")</f>
        <v>-6.8493150684942203E-2</v>
      </c>
      <c r="AB4">
        <f>RTD("rtdtrading.rtdserver",, "ITSA4_B_0", "MES")</f>
        <v>6.8081991215226916</v>
      </c>
      <c r="AC4">
        <f>RTD("rtdtrading.rtdserver",, "ITSA4_B_0", "3M")</f>
        <v>35.5305570779649</v>
      </c>
      <c r="AD4">
        <f>RTD("rtdtrading.rtdserver",, "ITSA4_B_0", "6M")</f>
        <v>50.361217317819708</v>
      </c>
      <c r="AE4">
        <f>RTD("rtdtrading.rtdserver",, "ITSA4_B_0", "12M")</f>
        <v>77.666829030686799</v>
      </c>
      <c r="AF4">
        <f>RTD("rtdtrading.rtdserver",, "ITSA4_B_0", "ANO")</f>
        <v>24.914383561643838</v>
      </c>
      <c r="AG4">
        <f>RTD("rtdtrading.rtdserver",, "ITSA4_B_0", "TRIM")</f>
        <v>24.914383561643838</v>
      </c>
      <c r="AH4">
        <f>RTD("rtdtrading.rtdserver",, "ITSA4_B_0", "SEMES")</f>
        <v>24.914383561643838</v>
      </c>
      <c r="AI4" t="str">
        <f>RTD("rtdtrading.rtdserver",, "ITSA4_B_0", "VEN")</f>
        <v>-</v>
      </c>
      <c r="AJ4" t="str">
        <f>RTD("rtdtrading.rtdserver",, "ITSA4_B_0", "VAL")</f>
        <v>31/12/9999</v>
      </c>
      <c r="AK4">
        <f>RTD("rtdtrading.rtdserver",, "ITSA4_B_0", "CAB")</f>
        <v>0</v>
      </c>
      <c r="AL4" t="str">
        <f>RTD("rtdtrading.rtdserver",, "ITSA4_B_0", "EST")</f>
        <v>Aberto</v>
      </c>
      <c r="AM4" t="str">
        <f>RTD("rtdtrading.rtdserver",, "ITSA4_B_0", "BLACK")</f>
        <v>-</v>
      </c>
      <c r="AN4" t="str">
        <f>RTD("rtdtrading.rtdserver",, "ITSA4_B_0", "IMPVT")</f>
        <v>-</v>
      </c>
      <c r="AO4" t="str">
        <f>RTD("rtdtrading.rtdserver",, "ITSA4_B_0", "DELTA")</f>
        <v>-</v>
      </c>
      <c r="AP4" t="str">
        <f>RTD("rtdtrading.rtdserver",, "ITSA4_B_0", "GAMA")</f>
        <v>-</v>
      </c>
      <c r="AQ4" t="str">
        <f>RTD("rtdtrading.rtdserver",, "ITSA4_B_0", "THETA")</f>
        <v>-</v>
      </c>
      <c r="AR4" t="str">
        <f>RTD("rtdtrading.rtdserver",, "ITSA4_B_0", "RHO")</f>
        <v>-</v>
      </c>
      <c r="AS4" t="str">
        <f>RTD("rtdtrading.rtdserver",, "ITSA4_B_0", "VEGA")</f>
        <v>-</v>
      </c>
      <c r="AT4" t="str">
        <f>RTD("rtdtrading.rtdserver",, "ITSA4_B_0", "VIA")</f>
        <v>-</v>
      </c>
      <c r="AU4" t="str">
        <f>RTD("rtdtrading.rtdserver",, "ITSA4_B_0", "VIB")</f>
        <v>-</v>
      </c>
      <c r="AV4" t="str">
        <f>RTD("rtdtrading.rtdserver",, "ITSA4_B_0", "DOBRAR")</f>
        <v>-</v>
      </c>
      <c r="AW4" t="str">
        <f>RTD("rtdtrading.rtdserver",, "ITSA4_B_0", "VIVH")</f>
        <v>-</v>
      </c>
      <c r="AX4" t="str">
        <f>RTD("rtdtrading.rtdserver",, "ITSA4_B_0", "VINT")</f>
        <v>-</v>
      </c>
      <c r="AY4" t="str">
        <f>RTD("rtdtrading.rtdserver",, "ITSA4_B_0", "VEXT")</f>
        <v>-</v>
      </c>
      <c r="AZ4" t="str">
        <f>RTD("rtdtrading.rtdserver",, "ITSA4_B_0", "67")</f>
        <v>14,61</v>
      </c>
    </row>
    <row r="5" spans="1:52" x14ac:dyDescent="0.35">
      <c r="A5" t="s">
        <v>64</v>
      </c>
      <c r="B5" t="str">
        <f>RTD("rtdtrading.rtdserver",, "CYRE3_B_0", "DAT")</f>
        <v>19/02/2026</v>
      </c>
      <c r="C5" t="str">
        <f>RTD("rtdtrading.rtdserver",, "CYRE3_B_0", "HOR")</f>
        <v>10:14:34</v>
      </c>
      <c r="D5">
        <f>RTD("rtdtrading.rtdserver",, "CYRE3_B_0", "ULT")</f>
        <v>31.61</v>
      </c>
      <c r="E5">
        <f>RTD("rtdtrading.rtdserver",, "CYRE3_B_0", "ABE")</f>
        <v>31.61</v>
      </c>
      <c r="F5">
        <f>RTD("rtdtrading.rtdserver",, "CYRE3_B_0", "MAX")</f>
        <v>31.76</v>
      </c>
      <c r="G5">
        <f>RTD("rtdtrading.rtdserver",, "CYRE3_B_0", "MIN")</f>
        <v>31.5</v>
      </c>
      <c r="H5">
        <f>RTD("rtdtrading.rtdserver",, "CYRE3_B_0", "FEC")</f>
        <v>31.520000000000003</v>
      </c>
      <c r="I5">
        <f>RTD("rtdtrading.rtdserver",, "CYRE3_B_0", "PEX")</f>
        <v>0</v>
      </c>
      <c r="J5">
        <f>RTD("rtdtrading.rtdserver",, "CYRE3_B_0", "VAR")</f>
        <v>0.2855329949238461</v>
      </c>
      <c r="K5">
        <f>RTD("rtdtrading.rtdserver",, "CYRE3_B_0", "VARPTS")</f>
        <v>8.9999999999996305E-2</v>
      </c>
      <c r="L5">
        <f>RTD("rtdtrading.rtdserver",, "CYRE3_B_0", "MED")</f>
        <v>31.630694864048337</v>
      </c>
      <c r="M5" t="s">
        <v>65</v>
      </c>
      <c r="N5">
        <f>RTD("rtdtrading.rtdserver",, "CYRE3_B_0", "NEG")</f>
        <v>322</v>
      </c>
      <c r="O5">
        <f>RTD("rtdtrading.rtdserver",, "CYRE3_B_0", "QUL")</f>
        <v>100</v>
      </c>
      <c r="P5">
        <f>RTD("rtdtrading.rtdserver",, "CYRE3_B_0", "QTT")</f>
        <v>66200</v>
      </c>
      <c r="Q5">
        <f>RTD("rtdtrading.rtdserver",, "CYRE3_B_0", "VOL")</f>
        <v>2093952</v>
      </c>
      <c r="R5">
        <f>RTD("rtdtrading.rtdserver",, "CYRE3_B_0", "OCP")</f>
        <v>31.6</v>
      </c>
      <c r="S5">
        <f>RTD("rtdtrading.rtdserver",, "CYRE3_B_0", "OVD")</f>
        <v>31.63</v>
      </c>
      <c r="T5">
        <f>RTD("rtdtrading.rtdserver",, "CYRE3_B_0", "VOC")</f>
        <v>100</v>
      </c>
      <c r="U5">
        <f>RTD("rtdtrading.rtdserver",, "CYRE3_B_0", "VOV")</f>
        <v>300</v>
      </c>
      <c r="V5">
        <f>RTD("rtdtrading.rtdserver",, "CYRE3_B_0", "AJU")</f>
        <v>0</v>
      </c>
      <c r="W5">
        <f>RTD("rtdtrading.rtdserver",, "CYRE3_B_0", "AJA")</f>
        <v>0</v>
      </c>
      <c r="X5">
        <f>RTD("rtdtrading.rtdserver",, "CYRE3_B_0", "PRT")</f>
        <v>0</v>
      </c>
      <c r="Y5">
        <f>RTD("rtdtrading.rtdserver",, "CYRE3_B_0", "QTE")</f>
        <v>0</v>
      </c>
      <c r="Z5">
        <f>RTD("rtdtrading.rtdserver",, "CYRE3_B_0", "VPJ")</f>
        <v>53842149.404104359</v>
      </c>
      <c r="AA5">
        <f>RTD("rtdtrading.rtdserver",, "CYRE3_B_0", "SEM")</f>
        <v>3.1657963446475161</v>
      </c>
      <c r="AB5">
        <f>RTD("rtdtrading.rtdserver",, "CYRE3_B_0", "MES")</f>
        <v>5.7190635451504921</v>
      </c>
      <c r="AC5">
        <f>RTD("rtdtrading.rtdserver",, "CYRE3_B_0", "3M")</f>
        <v>19.384833858309335</v>
      </c>
      <c r="AD5">
        <f>RTD("rtdtrading.rtdserver",, "CYRE3_B_0", "6M")</f>
        <v>66.184743178592072</v>
      </c>
      <c r="AE5">
        <f>RTD("rtdtrading.rtdserver",, "CYRE3_B_0", "12M")</f>
        <v>90.018755410214467</v>
      </c>
      <c r="AF5">
        <f>RTD("rtdtrading.rtdserver",, "CYRE3_B_0", "ANO")</f>
        <v>26.950340368280486</v>
      </c>
      <c r="AG5">
        <f>RTD("rtdtrading.rtdserver",, "CYRE3_B_0", "TRIM")</f>
        <v>26.950340368280486</v>
      </c>
      <c r="AH5">
        <f>RTD("rtdtrading.rtdserver",, "CYRE3_B_0", "SEMES")</f>
        <v>26.950340368280486</v>
      </c>
      <c r="AI5" t="str">
        <f>RTD("rtdtrading.rtdserver",, "CYRE3_B_0", "VEN")</f>
        <v>-</v>
      </c>
      <c r="AJ5" t="str">
        <f>RTD("rtdtrading.rtdserver",, "CYRE3_B_0", "VAL")</f>
        <v>31/12/9999</v>
      </c>
      <c r="AK5">
        <f>RTD("rtdtrading.rtdserver",, "CYRE3_B_0", "CAB")</f>
        <v>0</v>
      </c>
      <c r="AL5" t="str">
        <f>RTD("rtdtrading.rtdserver",, "CYRE3_B_0", "EST")</f>
        <v>Aberto</v>
      </c>
      <c r="AM5" t="str">
        <f>RTD("rtdtrading.rtdserver",, "CYRE3_B_0", "BLACK")</f>
        <v>-</v>
      </c>
      <c r="AN5" t="str">
        <f>RTD("rtdtrading.rtdserver",, "CYRE3_B_0", "IMPVT")</f>
        <v>-</v>
      </c>
      <c r="AO5" t="str">
        <f>RTD("rtdtrading.rtdserver",, "CYRE3_B_0", "DELTA")</f>
        <v>-</v>
      </c>
      <c r="AP5" t="str">
        <f>RTD("rtdtrading.rtdserver",, "CYRE3_B_0", "GAMA")</f>
        <v>-</v>
      </c>
      <c r="AQ5" t="str">
        <f>RTD("rtdtrading.rtdserver",, "CYRE3_B_0", "THETA")</f>
        <v>-</v>
      </c>
      <c r="AR5" t="str">
        <f>RTD("rtdtrading.rtdserver",, "CYRE3_B_0", "RHO")</f>
        <v>-</v>
      </c>
      <c r="AS5" t="str">
        <f>RTD("rtdtrading.rtdserver",, "CYRE3_B_0", "VEGA")</f>
        <v>-</v>
      </c>
      <c r="AT5" t="str">
        <f>RTD("rtdtrading.rtdserver",, "CYRE3_B_0", "VIA")</f>
        <v>-</v>
      </c>
      <c r="AU5" t="str">
        <f>RTD("rtdtrading.rtdserver",, "CYRE3_B_0", "VIB")</f>
        <v>-</v>
      </c>
      <c r="AV5" t="str">
        <f>RTD("rtdtrading.rtdserver",, "CYRE3_B_0", "DOBRAR")</f>
        <v>-</v>
      </c>
      <c r="AW5" t="str">
        <f>RTD("rtdtrading.rtdserver",, "CYRE3_B_0", "VIVH")</f>
        <v>-</v>
      </c>
      <c r="AX5" t="str">
        <f>RTD("rtdtrading.rtdserver",, "CYRE3_B_0", "VINT")</f>
        <v>-</v>
      </c>
      <c r="AY5" t="str">
        <f>RTD("rtdtrading.rtdserver",, "CYRE3_B_0", "VEXT")</f>
        <v>-</v>
      </c>
      <c r="AZ5" t="str">
        <f>RTD("rtdtrading.rtdserver",, "CYRE3_B_0", "67")</f>
        <v>31,63</v>
      </c>
    </row>
    <row r="6" spans="1:52" x14ac:dyDescent="0.35">
      <c r="A6" t="s">
        <v>66</v>
      </c>
      <c r="B6" t="str">
        <f>RTD("rtdtrading.rtdserver",, "CSNA3_B_0", "DAT")</f>
        <v>19/02/2026</v>
      </c>
      <c r="C6" t="str">
        <f>RTD("rtdtrading.rtdserver",, "CSNA3_B_0", "HOR")</f>
        <v>10:14:05</v>
      </c>
      <c r="D6">
        <f>RTD("rtdtrading.rtdserver",, "CSNA3_B_0", "ULT")</f>
        <v>8.6199999999999992</v>
      </c>
      <c r="E6">
        <f>RTD("rtdtrading.rtdserver",, "CSNA3_B_0", "ABE")</f>
        <v>8.61</v>
      </c>
      <c r="F6">
        <f>RTD("rtdtrading.rtdserver",, "CSNA3_B_0", "MAX")</f>
        <v>8.64</v>
      </c>
      <c r="G6">
        <f>RTD("rtdtrading.rtdserver",, "CSNA3_B_0", "MIN")</f>
        <v>8.58</v>
      </c>
      <c r="H6">
        <f>RTD("rtdtrading.rtdserver",, "CSNA3_B_0", "FEC")</f>
        <v>8.59</v>
      </c>
      <c r="I6">
        <f>RTD("rtdtrading.rtdserver",, "CSNA3_B_0", "PEX")</f>
        <v>0</v>
      </c>
      <c r="J6">
        <f>RTD("rtdtrading.rtdserver",, "CSNA3_B_0", "VAR")</f>
        <v>0.34924330616995763</v>
      </c>
      <c r="K6">
        <f>RTD("rtdtrading.rtdserver",, "CSNA3_B_0", "VARPTS")</f>
        <v>2.9999999999999361E-2</v>
      </c>
      <c r="L6">
        <f>RTD("rtdtrading.rtdserver",, "CSNA3_B_0", "MED")</f>
        <v>8.607849272807405</v>
      </c>
      <c r="M6" t="s">
        <v>67</v>
      </c>
      <c r="N6">
        <f>RTD("rtdtrading.rtdserver",, "CSNA3_B_0", "NEG")</f>
        <v>266</v>
      </c>
      <c r="O6">
        <f>RTD("rtdtrading.rtdserver",, "CSNA3_B_0", "QUL")</f>
        <v>1100</v>
      </c>
      <c r="P6">
        <f>RTD("rtdtrading.rtdserver",, "CSNA3_B_0", "QTT")</f>
        <v>226900</v>
      </c>
      <c r="Q6">
        <f>RTD("rtdtrading.rtdserver",, "CSNA3_B_0", "VOL")</f>
        <v>1953121</v>
      </c>
      <c r="R6">
        <f>RTD("rtdtrading.rtdserver",, "CSNA3_B_0", "OCP")</f>
        <v>8.61</v>
      </c>
      <c r="S6">
        <f>RTD("rtdtrading.rtdserver",, "CSNA3_B_0", "OVD")</f>
        <v>8.620000000000001</v>
      </c>
      <c r="T6">
        <f>RTD("rtdtrading.rtdserver",, "CSNA3_B_0", "VOC")</f>
        <v>2800</v>
      </c>
      <c r="U6">
        <f>RTD("rtdtrading.rtdserver",, "CSNA3_B_0", "VOV")</f>
        <v>9500</v>
      </c>
      <c r="V6">
        <f>RTD("rtdtrading.rtdserver",, "CSNA3_B_0", "AJU")</f>
        <v>0</v>
      </c>
      <c r="W6">
        <f>RTD("rtdtrading.rtdserver",, "CSNA3_B_0", "AJA")</f>
        <v>0</v>
      </c>
      <c r="X6">
        <f>RTD("rtdtrading.rtdserver",, "CSNA3_B_0", "PRT")</f>
        <v>0</v>
      </c>
      <c r="Y6">
        <f>RTD("rtdtrading.rtdserver",, "CSNA3_B_0", "QTE")</f>
        <v>0</v>
      </c>
      <c r="Z6">
        <f>RTD("rtdtrading.rtdserver",, "CSNA3_B_0", "VPJ")</f>
        <v>51944496.383916877</v>
      </c>
      <c r="AA6">
        <f>RTD("rtdtrading.rtdserver",, "CSNA3_B_0", "SEM")</f>
        <v>-1.2600229095074593</v>
      </c>
      <c r="AB6">
        <f>RTD("rtdtrading.rtdserver",, "CSNA3_B_0", "MES")</f>
        <v>-14.399205561072502</v>
      </c>
      <c r="AC6">
        <f>RTD("rtdtrading.rtdserver",, "CSNA3_B_0", "3M")</f>
        <v>6.2885326757089759</v>
      </c>
      <c r="AD6">
        <f>RTD("rtdtrading.rtdserver",, "CSNA3_B_0", "6M")</f>
        <v>27.326440177252564</v>
      </c>
      <c r="AE6">
        <f>RTD("rtdtrading.rtdserver",, "CSNA3_B_0", "12M")</f>
        <v>-3.0371203599550207</v>
      </c>
      <c r="AF6">
        <f>RTD("rtdtrading.rtdserver",, "CSNA3_B_0", "ANO")</f>
        <v>-3.5794183445190386</v>
      </c>
      <c r="AG6">
        <f>RTD("rtdtrading.rtdserver",, "CSNA3_B_0", "TRIM")</f>
        <v>-3.5794183445190386</v>
      </c>
      <c r="AH6">
        <f>RTD("rtdtrading.rtdserver",, "CSNA3_B_0", "SEMES")</f>
        <v>-3.5794183445190386</v>
      </c>
      <c r="AI6" t="str">
        <f>RTD("rtdtrading.rtdserver",, "CSNA3_B_0", "VEN")</f>
        <v>-</v>
      </c>
      <c r="AJ6" t="str">
        <f>RTD("rtdtrading.rtdserver",, "CSNA3_B_0", "VAL")</f>
        <v>31/12/9999</v>
      </c>
      <c r="AK6">
        <f>RTD("rtdtrading.rtdserver",, "CSNA3_B_0", "CAB")</f>
        <v>0</v>
      </c>
      <c r="AL6" t="str">
        <f>RTD("rtdtrading.rtdserver",, "CSNA3_B_0", "EST")</f>
        <v>Aberto</v>
      </c>
      <c r="AM6" t="str">
        <f>RTD("rtdtrading.rtdserver",, "CSNA3_B_0", "BLACK")</f>
        <v>-</v>
      </c>
      <c r="AN6" t="str">
        <f>RTD("rtdtrading.rtdserver",, "CSNA3_B_0", "IMPVT")</f>
        <v>-</v>
      </c>
      <c r="AO6" t="str">
        <f>RTD("rtdtrading.rtdserver",, "CSNA3_B_0", "DELTA")</f>
        <v>-</v>
      </c>
      <c r="AP6" t="str">
        <f>RTD("rtdtrading.rtdserver",, "CSNA3_B_0", "GAMA")</f>
        <v>-</v>
      </c>
      <c r="AQ6" t="str">
        <f>RTD("rtdtrading.rtdserver",, "CSNA3_B_0", "THETA")</f>
        <v>-</v>
      </c>
      <c r="AR6" t="str">
        <f>RTD("rtdtrading.rtdserver",, "CSNA3_B_0", "RHO")</f>
        <v>-</v>
      </c>
      <c r="AS6" t="str">
        <f>RTD("rtdtrading.rtdserver",, "CSNA3_B_0", "VEGA")</f>
        <v>-</v>
      </c>
      <c r="AT6" t="str">
        <f>RTD("rtdtrading.rtdserver",, "CSNA3_B_0", "VIA")</f>
        <v>-</v>
      </c>
      <c r="AU6" t="str">
        <f>RTD("rtdtrading.rtdserver",, "CSNA3_B_0", "VIB")</f>
        <v>-</v>
      </c>
      <c r="AV6" t="str">
        <f>RTD("rtdtrading.rtdserver",, "CSNA3_B_0", "DOBRAR")</f>
        <v>-</v>
      </c>
      <c r="AW6" t="str">
        <f>RTD("rtdtrading.rtdserver",, "CSNA3_B_0", "VIVH")</f>
        <v>-</v>
      </c>
      <c r="AX6" t="str">
        <f>RTD("rtdtrading.rtdserver",, "CSNA3_B_0", "VINT")</f>
        <v>-</v>
      </c>
      <c r="AY6" t="str">
        <f>RTD("rtdtrading.rtdserver",, "CSNA3_B_0", "VEXT")</f>
        <v>-</v>
      </c>
      <c r="AZ6" t="str">
        <f>RTD("rtdtrading.rtdserver",, "CSNA3_B_0", "67")</f>
        <v>8,61</v>
      </c>
    </row>
    <row r="7" spans="1:52" x14ac:dyDescent="0.35">
      <c r="A7" t="s">
        <v>68</v>
      </c>
      <c r="B7" t="str">
        <f>RTD("rtdtrading.rtdserver",, "LREN3_B_0", "DAT")</f>
        <v>19/02/2026</v>
      </c>
      <c r="C7" t="str">
        <f>RTD("rtdtrading.rtdserver",, "LREN3_B_0", "HOR")</f>
        <v>10:14:35</v>
      </c>
      <c r="D7">
        <f>RTD("rtdtrading.rtdserver",, "LREN3_B_0", "ULT")</f>
        <v>15.53</v>
      </c>
      <c r="E7">
        <f>RTD("rtdtrading.rtdserver",, "LREN3_B_0", "ABE")</f>
        <v>15.5</v>
      </c>
      <c r="F7">
        <f>RTD("rtdtrading.rtdserver",, "LREN3_B_0", "MAX")</f>
        <v>15.57</v>
      </c>
      <c r="G7">
        <f>RTD("rtdtrading.rtdserver",, "LREN3_B_0", "MIN")</f>
        <v>15.42</v>
      </c>
      <c r="H7">
        <f>RTD("rtdtrading.rtdserver",, "LREN3_B_0", "FEC")</f>
        <v>15.5</v>
      </c>
      <c r="I7">
        <f>RTD("rtdtrading.rtdserver",, "LREN3_B_0", "PEX")</f>
        <v>0</v>
      </c>
      <c r="J7">
        <f>RTD("rtdtrading.rtdserver",, "LREN3_B_0", "VAR")</f>
        <v>0.19354838709677008</v>
      </c>
      <c r="K7">
        <f>RTD("rtdtrading.rtdserver",, "LREN3_B_0", "VARPTS")</f>
        <v>2.9999999999999361E-2</v>
      </c>
      <c r="L7">
        <f>RTD("rtdtrading.rtdserver",, "LREN3_B_0", "MED")</f>
        <v>15.485710267229255</v>
      </c>
      <c r="M7" t="s">
        <v>69</v>
      </c>
      <c r="N7">
        <f>RTD("rtdtrading.rtdserver",, "LREN3_B_0", "NEG")</f>
        <v>389</v>
      </c>
      <c r="O7">
        <f>RTD("rtdtrading.rtdserver",, "LREN3_B_0", "QUL")</f>
        <v>200</v>
      </c>
      <c r="P7">
        <f>RTD("rtdtrading.rtdserver",, "LREN3_B_0", "QTT")</f>
        <v>142200</v>
      </c>
      <c r="Q7">
        <f>RTD("rtdtrading.rtdserver",, "LREN3_B_0", "VOL")</f>
        <v>2202068</v>
      </c>
      <c r="R7">
        <f>RTD("rtdtrading.rtdserver",, "LREN3_B_0", "OCP")</f>
        <v>15.52</v>
      </c>
      <c r="S7">
        <f>RTD("rtdtrading.rtdserver",, "LREN3_B_0", "OVD")</f>
        <v>15.530000000000001</v>
      </c>
      <c r="T7">
        <f>RTD("rtdtrading.rtdserver",, "LREN3_B_0", "VOC")</f>
        <v>2000</v>
      </c>
      <c r="U7">
        <f>RTD("rtdtrading.rtdserver",, "LREN3_B_0", "VOV")</f>
        <v>100</v>
      </c>
      <c r="V7">
        <f>RTD("rtdtrading.rtdserver",, "LREN3_B_0", "AJU")</f>
        <v>0</v>
      </c>
      <c r="W7">
        <f>RTD("rtdtrading.rtdserver",, "LREN3_B_0", "AJA")</f>
        <v>0</v>
      </c>
      <c r="X7">
        <f>RTD("rtdtrading.rtdserver",, "LREN3_B_0", "PRT")</f>
        <v>0</v>
      </c>
      <c r="Y7">
        <f>RTD("rtdtrading.rtdserver",, "LREN3_B_0", "QTE")</f>
        <v>0</v>
      </c>
      <c r="Z7">
        <f>RTD("rtdtrading.rtdserver",, "LREN3_B_0", "VPJ")</f>
        <v>56557443.749832794</v>
      </c>
      <c r="AA7">
        <f>RTD("rtdtrading.rtdserver",, "LREN3_B_0", "SEM")</f>
        <v>1.1726384364820712</v>
      </c>
      <c r="AB7">
        <f>RTD("rtdtrading.rtdserver",, "LREN3_B_0", "MES")</f>
        <v>4.0187541862022629</v>
      </c>
      <c r="AC7">
        <f>RTD("rtdtrading.rtdserver",, "LREN3_B_0", "3M")</f>
        <v>5.5400005436703115</v>
      </c>
      <c r="AD7">
        <f>RTD("rtdtrading.rtdserver",, "LREN3_B_0", "6M")</f>
        <v>1.422395214273577</v>
      </c>
      <c r="AE7">
        <f>RTD("rtdtrading.rtdserver",, "LREN3_B_0", "12M")</f>
        <v>15.905902021076498</v>
      </c>
      <c r="AF7">
        <f>RTD("rtdtrading.rtdserver",, "LREN3_B_0", "ANO")</f>
        <v>15.464684014869876</v>
      </c>
      <c r="AG7">
        <f>RTD("rtdtrading.rtdserver",, "LREN3_B_0", "TRIM")</f>
        <v>15.464684014869876</v>
      </c>
      <c r="AH7">
        <f>RTD("rtdtrading.rtdserver",, "LREN3_B_0", "SEMES")</f>
        <v>15.464684014869876</v>
      </c>
      <c r="AI7" t="str">
        <f>RTD("rtdtrading.rtdserver",, "LREN3_B_0", "VEN")</f>
        <v>-</v>
      </c>
      <c r="AJ7" t="str">
        <f>RTD("rtdtrading.rtdserver",, "LREN3_B_0", "VAL")</f>
        <v>31/12/9999</v>
      </c>
      <c r="AK7">
        <f>RTD("rtdtrading.rtdserver",, "LREN3_B_0", "CAB")</f>
        <v>0</v>
      </c>
      <c r="AL7" t="str">
        <f>RTD("rtdtrading.rtdserver",, "LREN3_B_0", "EST")</f>
        <v>Aberto</v>
      </c>
      <c r="AM7" t="str">
        <f>RTD("rtdtrading.rtdserver",, "LREN3_B_0", "BLACK")</f>
        <v>-</v>
      </c>
      <c r="AN7" t="str">
        <f>RTD("rtdtrading.rtdserver",, "LREN3_B_0", "IMPVT")</f>
        <v>-</v>
      </c>
      <c r="AO7" t="str">
        <f>RTD("rtdtrading.rtdserver",, "LREN3_B_0", "DELTA")</f>
        <v>-</v>
      </c>
      <c r="AP7" t="str">
        <f>RTD("rtdtrading.rtdserver",, "LREN3_B_0", "GAMA")</f>
        <v>-</v>
      </c>
      <c r="AQ7" t="str">
        <f>RTD("rtdtrading.rtdserver",, "LREN3_B_0", "THETA")</f>
        <v>-</v>
      </c>
      <c r="AR7" t="str">
        <f>RTD("rtdtrading.rtdserver",, "LREN3_B_0", "RHO")</f>
        <v>-</v>
      </c>
      <c r="AS7" t="str">
        <f>RTD("rtdtrading.rtdserver",, "LREN3_B_0", "VEGA")</f>
        <v>-</v>
      </c>
      <c r="AT7" t="str">
        <f>RTD("rtdtrading.rtdserver",, "LREN3_B_0", "VIA")</f>
        <v>-</v>
      </c>
      <c r="AU7" t="str">
        <f>RTD("rtdtrading.rtdserver",, "LREN3_B_0", "VIB")</f>
        <v>-</v>
      </c>
      <c r="AV7" t="str">
        <f>RTD("rtdtrading.rtdserver",, "LREN3_B_0", "DOBRAR")</f>
        <v>-</v>
      </c>
      <c r="AW7" t="str">
        <f>RTD("rtdtrading.rtdserver",, "LREN3_B_0", "VIVH")</f>
        <v>-</v>
      </c>
      <c r="AX7" t="str">
        <f>RTD("rtdtrading.rtdserver",, "LREN3_B_0", "VINT")</f>
        <v>-</v>
      </c>
      <c r="AY7" t="str">
        <f>RTD("rtdtrading.rtdserver",, "LREN3_B_0", "VEXT")</f>
        <v>-</v>
      </c>
      <c r="AZ7" t="str">
        <f>RTD("rtdtrading.rtdserver",, "LREN3_B_0", "67")</f>
        <v>15,49</v>
      </c>
    </row>
    <row r="8" spans="1:52" x14ac:dyDescent="0.35">
      <c r="A8" t="s">
        <v>70</v>
      </c>
      <c r="B8" t="str">
        <f>RTD("rtdtrading.rtdserver",, "CIEL3_B_0", "DAT")</f>
        <v>30/12/1899</v>
      </c>
      <c r="C8" t="str">
        <f>RTD("rtdtrading.rtdserver",, "CIEL3_B_0", "HOR")</f>
        <v>00:00:00</v>
      </c>
      <c r="D8">
        <f>RTD("rtdtrading.rtdserver",, "CIEL3_B_0", "ULT")</f>
        <v>0</v>
      </c>
      <c r="E8">
        <f>RTD("rtdtrading.rtdserver",, "CIEL3_B_0", "ABE")</f>
        <v>0</v>
      </c>
      <c r="F8">
        <f>RTD("rtdtrading.rtdserver",, "CIEL3_B_0", "MAX")</f>
        <v>0</v>
      </c>
      <c r="G8">
        <f>RTD("rtdtrading.rtdserver",, "CIEL3_B_0", "MIN")</f>
        <v>0</v>
      </c>
      <c r="H8">
        <f>RTD("rtdtrading.rtdserver",, "CIEL3_B_0", "FEC")</f>
        <v>0</v>
      </c>
      <c r="I8">
        <f>RTD("rtdtrading.rtdserver",, "CIEL3_B_0", "PEX")</f>
        <v>0</v>
      </c>
      <c r="J8">
        <f>RTD("rtdtrading.rtdserver",, "CIEL3_B_0", "VAR")</f>
        <v>0</v>
      </c>
      <c r="K8">
        <f>RTD("rtdtrading.rtdserver",, "CIEL3_B_0", "VARPTS")</f>
        <v>0</v>
      </c>
      <c r="L8">
        <f>RTD("rtdtrading.rtdserver",, "CIEL3_B_0", "MED")</f>
        <v>0</v>
      </c>
      <c r="M8" t="s">
        <v>71</v>
      </c>
      <c r="N8">
        <f>RTD("rtdtrading.rtdserver",, "CIEL3_B_0", "NEG")</f>
        <v>0</v>
      </c>
      <c r="O8">
        <f>RTD("rtdtrading.rtdserver",, "CIEL3_B_0", "QUL")</f>
        <v>0</v>
      </c>
      <c r="P8">
        <f>RTD("rtdtrading.rtdserver",, "CIEL3_B_0", "QTT")</f>
        <v>0</v>
      </c>
      <c r="Q8">
        <f>RTD("rtdtrading.rtdserver",, "CIEL3_B_0", "VOL")</f>
        <v>0</v>
      </c>
      <c r="R8">
        <f>RTD("rtdtrading.rtdserver",, "CIEL3_B_0", "OCP")</f>
        <v>0</v>
      </c>
      <c r="S8">
        <f>RTD("rtdtrading.rtdserver",, "CIEL3_B_0", "OVD")</f>
        <v>0</v>
      </c>
      <c r="T8">
        <f>RTD("rtdtrading.rtdserver",, "CIEL3_B_0", "VOC")</f>
        <v>0</v>
      </c>
      <c r="U8">
        <f>RTD("rtdtrading.rtdserver",, "CIEL3_B_0", "VOV")</f>
        <v>0</v>
      </c>
      <c r="V8">
        <f>RTD("rtdtrading.rtdserver",, "CIEL3_B_0", "AJU")</f>
        <v>0</v>
      </c>
      <c r="W8">
        <f>RTD("rtdtrading.rtdserver",, "CIEL3_B_0", "AJA")</f>
        <v>0</v>
      </c>
      <c r="X8">
        <f>RTD("rtdtrading.rtdserver",, "CIEL3_B_0", "PRT")</f>
        <v>0</v>
      </c>
      <c r="Y8">
        <f>RTD("rtdtrading.rtdserver",, "CIEL3_B_0", "QTE")</f>
        <v>0</v>
      </c>
      <c r="Z8">
        <f>RTD("rtdtrading.rtdserver",, "CIEL3_B_0", "VPJ")</f>
        <v>0</v>
      </c>
      <c r="AA8">
        <f>RTD("rtdtrading.rtdserver",, "CIEL3_B_0", "SEM")</f>
        <v>0</v>
      </c>
      <c r="AB8">
        <f>RTD("rtdtrading.rtdserver",, "CIEL3_B_0", "MES")</f>
        <v>0</v>
      </c>
      <c r="AC8">
        <f>RTD("rtdtrading.rtdserver",, "CIEL3_B_0", "3M")</f>
        <v>0</v>
      </c>
      <c r="AD8">
        <f>RTD("rtdtrading.rtdserver",, "CIEL3_B_0", "6M")</f>
        <v>0</v>
      </c>
      <c r="AE8">
        <f>RTD("rtdtrading.rtdserver",, "CIEL3_B_0", "12M")</f>
        <v>0</v>
      </c>
      <c r="AF8">
        <f>RTD("rtdtrading.rtdserver",, "CIEL3_B_0", "ANO")</f>
        <v>0</v>
      </c>
      <c r="AG8">
        <f>RTD("rtdtrading.rtdserver",, "CIEL3_B_0", "TRIM")</f>
        <v>0</v>
      </c>
      <c r="AH8">
        <f>RTD("rtdtrading.rtdserver",, "CIEL3_B_0", "SEMES")</f>
        <v>0</v>
      </c>
      <c r="AI8" t="str">
        <f>RTD("rtdtrading.rtdserver",, "CIEL3_B_0", "VEN")</f>
        <v>-</v>
      </c>
      <c r="AJ8" t="str">
        <f>RTD("rtdtrading.rtdserver",, "CIEL3_B_0", "VAL")</f>
        <v>31/12/9999</v>
      </c>
      <c r="AK8">
        <f>RTD("rtdtrading.rtdserver",, "CIEL3_B_0", "CAB")</f>
        <v>0</v>
      </c>
      <c r="AL8" t="str">
        <f>RTD("rtdtrading.rtdserver",, "CIEL3_B_0", "EST")</f>
        <v>NONE</v>
      </c>
      <c r="AM8" t="str">
        <f>RTD("rtdtrading.rtdserver",, "CIEL3_B_0", "BLACK")</f>
        <v>-</v>
      </c>
      <c r="AN8" t="str">
        <f>RTD("rtdtrading.rtdserver",, "CIEL3_B_0", "IMPVT")</f>
        <v>-</v>
      </c>
      <c r="AO8" t="str">
        <f>RTD("rtdtrading.rtdserver",, "CIEL3_B_0", "DELTA")</f>
        <v>-</v>
      </c>
      <c r="AP8" t="str">
        <f>RTD("rtdtrading.rtdserver",, "CIEL3_B_0", "GAMA")</f>
        <v>-</v>
      </c>
      <c r="AQ8" t="str">
        <f>RTD("rtdtrading.rtdserver",, "CIEL3_B_0", "THETA")</f>
        <v>-</v>
      </c>
      <c r="AR8" t="str">
        <f>RTD("rtdtrading.rtdserver",, "CIEL3_B_0", "RHO")</f>
        <v>-</v>
      </c>
      <c r="AS8" t="str">
        <f>RTD("rtdtrading.rtdserver",, "CIEL3_B_0", "VEGA")</f>
        <v>-</v>
      </c>
      <c r="AT8" t="str">
        <f>RTD("rtdtrading.rtdserver",, "CIEL3_B_0", "VIA")</f>
        <v>-</v>
      </c>
      <c r="AU8" t="str">
        <f>RTD("rtdtrading.rtdserver",, "CIEL3_B_0", "VIB")</f>
        <v>-</v>
      </c>
      <c r="AV8" t="str">
        <f>RTD("rtdtrading.rtdserver",, "CIEL3_B_0", "DOBRAR")</f>
        <v>-</v>
      </c>
      <c r="AW8" t="str">
        <f>RTD("rtdtrading.rtdserver",, "CIEL3_B_0", "VIVH")</f>
        <v>-</v>
      </c>
      <c r="AX8" t="str">
        <f>RTD("rtdtrading.rtdserver",, "CIEL3_B_0", "VINT")</f>
        <v>-</v>
      </c>
      <c r="AY8" t="str">
        <f>RTD("rtdtrading.rtdserver",, "CIEL3_B_0", "VEXT")</f>
        <v>-</v>
      </c>
      <c r="AZ8" t="str">
        <f>RTD("rtdtrading.rtdserver",, "CIEL3_B_0", "67")</f>
        <v>-</v>
      </c>
    </row>
    <row r="9" spans="1:52" x14ac:dyDescent="0.35">
      <c r="A9" t="s">
        <v>72</v>
      </c>
      <c r="B9" t="str">
        <f>RTD("rtdtrading.rtdserver",, "ECOR3_B_0", "DAT")</f>
        <v>19/02/2026</v>
      </c>
      <c r="C9" t="str">
        <f>RTD("rtdtrading.rtdserver",, "ECOR3_B_0", "HOR")</f>
        <v>10:12:44</v>
      </c>
      <c r="D9">
        <f>RTD("rtdtrading.rtdserver",, "ECOR3_B_0", "ULT")</f>
        <v>10.48</v>
      </c>
      <c r="E9">
        <f>RTD("rtdtrading.rtdserver",, "ECOR3_B_0", "ABE")</f>
        <v>10.44</v>
      </c>
      <c r="F9">
        <f>RTD("rtdtrading.rtdserver",, "ECOR3_B_0", "MAX")</f>
        <v>10.49</v>
      </c>
      <c r="G9">
        <f>RTD("rtdtrading.rtdserver",, "ECOR3_B_0", "MIN")</f>
        <v>10.44</v>
      </c>
      <c r="H9">
        <f>RTD("rtdtrading.rtdserver",, "ECOR3_B_0", "FEC")</f>
        <v>10.450000000000001</v>
      </c>
      <c r="I9">
        <f>RTD("rtdtrading.rtdserver",, "ECOR3_B_0", "PEX")</f>
        <v>0</v>
      </c>
      <c r="J9">
        <f>RTD("rtdtrading.rtdserver",, "ECOR3_B_0", "VAR")</f>
        <v>0.2870813397129125</v>
      </c>
      <c r="K9">
        <f>RTD("rtdtrading.rtdserver",, "ECOR3_B_0", "VARPTS")</f>
        <v>2.9999999999999361E-2</v>
      </c>
      <c r="L9">
        <f>RTD("rtdtrading.rtdserver",, "ECOR3_B_0", "MED")</f>
        <v>10.469161676646706</v>
      </c>
      <c r="M9" t="s">
        <v>73</v>
      </c>
      <c r="N9">
        <f>RTD("rtdtrading.rtdserver",, "ECOR3_B_0", "NEG")</f>
        <v>74</v>
      </c>
      <c r="O9">
        <f>RTD("rtdtrading.rtdserver",, "ECOR3_B_0", "QUL")</f>
        <v>500</v>
      </c>
      <c r="P9">
        <f>RTD("rtdtrading.rtdserver",, "ECOR3_B_0", "QTT")</f>
        <v>33400</v>
      </c>
      <c r="Q9">
        <f>RTD("rtdtrading.rtdserver",, "ECOR3_B_0", "VOL")</f>
        <v>349670</v>
      </c>
      <c r="R9">
        <f>RTD("rtdtrading.rtdserver",, "ECOR3_B_0", "OCP")</f>
        <v>10.46</v>
      </c>
      <c r="S9">
        <f>RTD("rtdtrading.rtdserver",, "ECOR3_B_0", "OVD")</f>
        <v>10.47</v>
      </c>
      <c r="T9">
        <f>RTD("rtdtrading.rtdserver",, "ECOR3_B_0", "VOC")</f>
        <v>6900</v>
      </c>
      <c r="U9">
        <f>RTD("rtdtrading.rtdserver",, "ECOR3_B_0", "VOV")</f>
        <v>1000</v>
      </c>
      <c r="V9">
        <f>RTD("rtdtrading.rtdserver",, "ECOR3_B_0", "AJU")</f>
        <v>0</v>
      </c>
      <c r="W9">
        <f>RTD("rtdtrading.rtdserver",, "ECOR3_B_0", "AJA")</f>
        <v>0</v>
      </c>
      <c r="X9">
        <f>RTD("rtdtrading.rtdserver",, "ECOR3_B_0", "PRT")</f>
        <v>0</v>
      </c>
      <c r="Y9">
        <f>RTD("rtdtrading.rtdserver",, "ECOR3_B_0", "QTE")</f>
        <v>0</v>
      </c>
      <c r="Z9">
        <f>RTD("rtdtrading.rtdserver",, "ECOR3_B_0", "VPJ")</f>
        <v>10285658.816804258</v>
      </c>
      <c r="AA9">
        <f>RTD("rtdtrading.rtdserver",, "ECOR3_B_0", "SEM")</f>
        <v>0.86621751684311699</v>
      </c>
      <c r="AB9">
        <f>RTD("rtdtrading.rtdserver",, "ECOR3_B_0", "MES")</f>
        <v>-11.336717428087985</v>
      </c>
      <c r="AC9">
        <f>RTD("rtdtrading.rtdserver",, "ECOR3_B_0", "3M")</f>
        <v>9.8532494758909799</v>
      </c>
      <c r="AD9">
        <f>RTD("rtdtrading.rtdserver",, "ECOR3_B_0", "6M")</f>
        <v>54.572271386430685</v>
      </c>
      <c r="AE9">
        <f>RTD("rtdtrading.rtdserver",, "ECOR3_B_0", "12M")</f>
        <v>104.31239521191561</v>
      </c>
      <c r="AF9">
        <f>RTD("rtdtrading.rtdserver",, "ECOR3_B_0", "ANO")</f>
        <v>-1.1320754716981059</v>
      </c>
      <c r="AG9">
        <f>RTD("rtdtrading.rtdserver",, "ECOR3_B_0", "TRIM")</f>
        <v>-1.1320754716981059</v>
      </c>
      <c r="AH9">
        <f>RTD("rtdtrading.rtdserver",, "ECOR3_B_0", "SEMES")</f>
        <v>-1.1320754716981059</v>
      </c>
      <c r="AI9" t="str">
        <f>RTD("rtdtrading.rtdserver",, "ECOR3_B_0", "VEN")</f>
        <v>-</v>
      </c>
      <c r="AJ9" t="str">
        <f>RTD("rtdtrading.rtdserver",, "ECOR3_B_0", "VAL")</f>
        <v>31/12/9999</v>
      </c>
      <c r="AK9">
        <f>RTD("rtdtrading.rtdserver",, "ECOR3_B_0", "CAB")</f>
        <v>0</v>
      </c>
      <c r="AL9" t="str">
        <f>RTD("rtdtrading.rtdserver",, "ECOR3_B_0", "EST")</f>
        <v>Aberto</v>
      </c>
      <c r="AM9" t="str">
        <f>RTD("rtdtrading.rtdserver",, "ECOR3_B_0", "BLACK")</f>
        <v>-</v>
      </c>
      <c r="AN9" t="str">
        <f>RTD("rtdtrading.rtdserver",, "ECOR3_B_0", "IMPVT")</f>
        <v>-</v>
      </c>
      <c r="AO9" t="str">
        <f>RTD("rtdtrading.rtdserver",, "ECOR3_B_0", "DELTA")</f>
        <v>-</v>
      </c>
      <c r="AP9" t="str">
        <f>RTD("rtdtrading.rtdserver",, "ECOR3_B_0", "GAMA")</f>
        <v>-</v>
      </c>
      <c r="AQ9" t="str">
        <f>RTD("rtdtrading.rtdserver",, "ECOR3_B_0", "THETA")</f>
        <v>-</v>
      </c>
      <c r="AR9" t="str">
        <f>RTD("rtdtrading.rtdserver",, "ECOR3_B_0", "RHO")</f>
        <v>-</v>
      </c>
      <c r="AS9" t="str">
        <f>RTD("rtdtrading.rtdserver",, "ECOR3_B_0", "VEGA")</f>
        <v>-</v>
      </c>
      <c r="AT9" t="str">
        <f>RTD("rtdtrading.rtdserver",, "ECOR3_B_0", "VIA")</f>
        <v>-</v>
      </c>
      <c r="AU9" t="str">
        <f>RTD("rtdtrading.rtdserver",, "ECOR3_B_0", "VIB")</f>
        <v>-</v>
      </c>
      <c r="AV9" t="str">
        <f>RTD("rtdtrading.rtdserver",, "ECOR3_B_0", "DOBRAR")</f>
        <v>-</v>
      </c>
      <c r="AW9" t="str">
        <f>RTD("rtdtrading.rtdserver",, "ECOR3_B_0", "VIVH")</f>
        <v>-</v>
      </c>
      <c r="AX9" t="str">
        <f>RTD("rtdtrading.rtdserver",, "ECOR3_B_0", "VINT")</f>
        <v>-</v>
      </c>
      <c r="AY9" t="str">
        <f>RTD("rtdtrading.rtdserver",, "ECOR3_B_0", "VEXT")</f>
        <v>-</v>
      </c>
      <c r="AZ9" t="str">
        <f>RTD("rtdtrading.rtdserver",, "ECOR3_B_0", "67")</f>
        <v>10,47</v>
      </c>
    </row>
    <row r="10" spans="1:52" x14ac:dyDescent="0.35">
      <c r="A10" t="s">
        <v>74</v>
      </c>
      <c r="B10" t="str">
        <f>RTD("rtdtrading.rtdserver",, "GFSA3_B_0", "DAT")</f>
        <v>19/02/2026</v>
      </c>
      <c r="C10" t="str">
        <f>RTD("rtdtrading.rtdserver",, "GFSA3_B_0", "HOR")</f>
        <v>10:14:35</v>
      </c>
      <c r="D10">
        <f>RTD("rtdtrading.rtdserver",, "GFSA3_B_0", "ULT")</f>
        <v>2.93</v>
      </c>
      <c r="E10">
        <f>RTD("rtdtrading.rtdserver",, "GFSA3_B_0", "ABE")</f>
        <v>2.97</v>
      </c>
      <c r="F10">
        <f>RTD("rtdtrading.rtdserver",, "GFSA3_B_0", "MAX")</f>
        <v>2.99</v>
      </c>
      <c r="G10">
        <f>RTD("rtdtrading.rtdserver",, "GFSA3_B_0", "MIN")</f>
        <v>2.93</v>
      </c>
      <c r="H10">
        <f>RTD("rtdtrading.rtdserver",, "GFSA3_B_0", "FEC")</f>
        <v>2.95</v>
      </c>
      <c r="I10">
        <f>RTD("rtdtrading.rtdserver",, "GFSA3_B_0", "PEX")</f>
        <v>0</v>
      </c>
      <c r="J10">
        <f>RTD("rtdtrading.rtdserver",, "GFSA3_B_0", "VAR")</f>
        <v>-0.67796610169491589</v>
      </c>
      <c r="K10">
        <f>RTD("rtdtrading.rtdserver",, "GFSA3_B_0", "VARPTS")</f>
        <v>-2.0000000000000018E-2</v>
      </c>
      <c r="L10">
        <f>RTD("rtdtrading.rtdserver",, "GFSA3_B_0", "MED")</f>
        <v>2.9562975778546714</v>
      </c>
      <c r="M10" t="s">
        <v>75</v>
      </c>
      <c r="N10">
        <f>RTD("rtdtrading.rtdserver",, "GFSA3_B_0", "NEG")</f>
        <v>37</v>
      </c>
      <c r="O10">
        <f>RTD("rtdtrading.rtdserver",, "GFSA3_B_0", "QUL")</f>
        <v>300</v>
      </c>
      <c r="P10">
        <f>RTD("rtdtrading.rtdserver",, "GFSA3_B_0", "QTT")</f>
        <v>28900</v>
      </c>
      <c r="Q10">
        <f>RTD("rtdtrading.rtdserver",, "GFSA3_B_0", "VOL")</f>
        <v>85437</v>
      </c>
      <c r="R10">
        <f>RTD("rtdtrading.rtdserver",, "GFSA3_B_0", "OCP")</f>
        <v>2.92</v>
      </c>
      <c r="S10">
        <f>RTD("rtdtrading.rtdserver",, "GFSA3_B_0", "OVD")</f>
        <v>2.95</v>
      </c>
      <c r="T10">
        <f>RTD("rtdtrading.rtdserver",, "GFSA3_B_0", "VOC")</f>
        <v>6100</v>
      </c>
      <c r="U10">
        <f>RTD("rtdtrading.rtdserver",, "GFSA3_B_0", "VOV")</f>
        <v>1500</v>
      </c>
      <c r="V10">
        <f>RTD("rtdtrading.rtdserver",, "GFSA3_B_0", "AJU")</f>
        <v>0</v>
      </c>
      <c r="W10">
        <f>RTD("rtdtrading.rtdserver",, "GFSA3_B_0", "AJA")</f>
        <v>0</v>
      </c>
      <c r="X10">
        <f>RTD("rtdtrading.rtdserver",, "GFSA3_B_0", "PRT")</f>
        <v>0</v>
      </c>
      <c r="Y10">
        <f>RTD("rtdtrading.rtdserver",, "GFSA3_B_0", "QTE")</f>
        <v>0</v>
      </c>
      <c r="Z10">
        <f>RTD("rtdtrading.rtdserver",, "GFSA3_B_0", "VPJ")</f>
        <v>2194345.6431202237</v>
      </c>
      <c r="AA10">
        <f>RTD("rtdtrading.rtdserver",, "GFSA3_B_0", "SEM")</f>
        <v>-1.346801346801348</v>
      </c>
      <c r="AB10">
        <f>RTD("rtdtrading.rtdserver",, "GFSA3_B_0", "MES")</f>
        <v>-32.643678160919542</v>
      </c>
      <c r="AC10">
        <f>RTD("rtdtrading.rtdserver",, "GFSA3_B_0", "3M")</f>
        <v>-37.79193205944798</v>
      </c>
      <c r="AD10">
        <f>RTD("rtdtrading.rtdserver",, "GFSA3_B_0", "6M")</f>
        <v>-77.374517374517382</v>
      </c>
      <c r="AE10">
        <f>RTD("rtdtrading.rtdserver",, "GFSA3_B_0", "12M")</f>
        <v>-87.149122807017548</v>
      </c>
      <c r="AF10">
        <f>RTD("rtdtrading.rtdserver",, "GFSA3_B_0", "ANO")</f>
        <v>-45.23364485981309</v>
      </c>
      <c r="AG10">
        <f>RTD("rtdtrading.rtdserver",, "GFSA3_B_0", "TRIM")</f>
        <v>-45.23364485981309</v>
      </c>
      <c r="AH10">
        <f>RTD("rtdtrading.rtdserver",, "GFSA3_B_0", "SEMES")</f>
        <v>-45.23364485981309</v>
      </c>
      <c r="AI10" t="str">
        <f>RTD("rtdtrading.rtdserver",, "GFSA3_B_0", "VEN")</f>
        <v>-</v>
      </c>
      <c r="AJ10" t="str">
        <f>RTD("rtdtrading.rtdserver",, "GFSA3_B_0", "VAL")</f>
        <v>31/12/9999</v>
      </c>
      <c r="AK10">
        <f>RTD("rtdtrading.rtdserver",, "GFSA3_B_0", "CAB")</f>
        <v>0</v>
      </c>
      <c r="AL10" t="str">
        <f>RTD("rtdtrading.rtdserver",, "GFSA3_B_0", "EST")</f>
        <v>Aberto</v>
      </c>
      <c r="AM10" t="str">
        <f>RTD("rtdtrading.rtdserver",, "GFSA3_B_0", "BLACK")</f>
        <v>-</v>
      </c>
      <c r="AN10" t="str">
        <f>RTD("rtdtrading.rtdserver",, "GFSA3_B_0", "IMPVT")</f>
        <v>-</v>
      </c>
      <c r="AO10" t="str">
        <f>RTD("rtdtrading.rtdserver",, "GFSA3_B_0", "DELTA")</f>
        <v>-</v>
      </c>
      <c r="AP10" t="str">
        <f>RTD("rtdtrading.rtdserver",, "GFSA3_B_0", "GAMA")</f>
        <v>-</v>
      </c>
      <c r="AQ10" t="str">
        <f>RTD("rtdtrading.rtdserver",, "GFSA3_B_0", "THETA")</f>
        <v>-</v>
      </c>
      <c r="AR10" t="str">
        <f>RTD("rtdtrading.rtdserver",, "GFSA3_B_0", "RHO")</f>
        <v>-</v>
      </c>
      <c r="AS10" t="str">
        <f>RTD("rtdtrading.rtdserver",, "GFSA3_B_0", "VEGA")</f>
        <v>-</v>
      </c>
      <c r="AT10" t="str">
        <f>RTD("rtdtrading.rtdserver",, "GFSA3_B_0", "VIA")</f>
        <v>-</v>
      </c>
      <c r="AU10" t="str">
        <f>RTD("rtdtrading.rtdserver",, "GFSA3_B_0", "VIB")</f>
        <v>-</v>
      </c>
      <c r="AV10" t="str">
        <f>RTD("rtdtrading.rtdserver",, "GFSA3_B_0", "DOBRAR")</f>
        <v>-</v>
      </c>
      <c r="AW10" t="str">
        <f>RTD("rtdtrading.rtdserver",, "GFSA3_B_0", "VIVH")</f>
        <v>-</v>
      </c>
      <c r="AX10" t="str">
        <f>RTD("rtdtrading.rtdserver",, "GFSA3_B_0", "VINT")</f>
        <v>-</v>
      </c>
      <c r="AY10" t="str">
        <f>RTD("rtdtrading.rtdserver",, "GFSA3_B_0", "VEXT")</f>
        <v>-</v>
      </c>
      <c r="AZ10" t="str">
        <f>RTD("rtdtrading.rtdserver",, "GFSA3_B_0", "67")</f>
        <v>2,96</v>
      </c>
    </row>
    <row r="11" spans="1:52" x14ac:dyDescent="0.35">
      <c r="A11" t="s">
        <v>76</v>
      </c>
      <c r="B11" t="str">
        <f>RTD("rtdtrading.rtdserver",, "MRVE3_B_0", "DAT")</f>
        <v>19/02/2026</v>
      </c>
      <c r="C11" t="str">
        <f>RTD("rtdtrading.rtdserver",, "MRVE3_B_0", "HOR")</f>
        <v>10:14:32</v>
      </c>
      <c r="D11">
        <f>RTD("rtdtrading.rtdserver",, "MRVE3_B_0", "ULT")</f>
        <v>9.9</v>
      </c>
      <c r="E11">
        <f>RTD("rtdtrading.rtdserver",, "MRVE3_B_0", "ABE")</f>
        <v>9.89</v>
      </c>
      <c r="F11">
        <f>RTD("rtdtrading.rtdserver",, "MRVE3_B_0", "MAX")</f>
        <v>9.94</v>
      </c>
      <c r="G11">
        <f>RTD("rtdtrading.rtdserver",, "MRVE3_B_0", "MIN")</f>
        <v>9.8000000000000007</v>
      </c>
      <c r="H11">
        <f>RTD("rtdtrading.rtdserver",, "MRVE3_B_0", "FEC")</f>
        <v>9.84</v>
      </c>
      <c r="I11">
        <f>RTD("rtdtrading.rtdserver",, "MRVE3_B_0", "PEX")</f>
        <v>0</v>
      </c>
      <c r="J11">
        <f>RTD("rtdtrading.rtdserver",, "MRVE3_B_0", "VAR")</f>
        <v>0.6097560975609807</v>
      </c>
      <c r="K11">
        <f>RTD("rtdtrading.rtdserver",, "MRVE3_B_0", "VARPTS")</f>
        <v>6.0000000000000497E-2</v>
      </c>
      <c r="L11">
        <f>RTD("rtdtrading.rtdserver",, "MRVE3_B_0", "MED")</f>
        <v>9.8737242798353915</v>
      </c>
      <c r="M11" t="s">
        <v>77</v>
      </c>
      <c r="N11">
        <f>RTD("rtdtrading.rtdserver",, "MRVE3_B_0", "NEG")</f>
        <v>261</v>
      </c>
      <c r="O11">
        <f>RTD("rtdtrading.rtdserver",, "MRVE3_B_0", "QUL")</f>
        <v>100</v>
      </c>
      <c r="P11">
        <f>RTD("rtdtrading.rtdserver",, "MRVE3_B_0", "QTT")</f>
        <v>145800</v>
      </c>
      <c r="Q11">
        <f>RTD("rtdtrading.rtdserver",, "MRVE3_B_0", "VOL")</f>
        <v>1439589</v>
      </c>
      <c r="R11">
        <f>RTD("rtdtrading.rtdserver",, "MRVE3_B_0", "OCP")</f>
        <v>9.8800000000000008</v>
      </c>
      <c r="S11">
        <f>RTD("rtdtrading.rtdserver",, "MRVE3_B_0", "OVD")</f>
        <v>9.9</v>
      </c>
      <c r="T11">
        <f>RTD("rtdtrading.rtdserver",, "MRVE3_B_0", "VOC")</f>
        <v>4700</v>
      </c>
      <c r="U11">
        <f>RTD("rtdtrading.rtdserver",, "MRVE3_B_0", "VOV")</f>
        <v>2600</v>
      </c>
      <c r="V11">
        <f>RTD("rtdtrading.rtdserver",, "MRVE3_B_0", "AJU")</f>
        <v>0</v>
      </c>
      <c r="W11">
        <f>RTD("rtdtrading.rtdserver",, "MRVE3_B_0", "AJA")</f>
        <v>0</v>
      </c>
      <c r="X11">
        <f>RTD("rtdtrading.rtdserver",, "MRVE3_B_0", "PRT")</f>
        <v>0</v>
      </c>
      <c r="Y11">
        <f>RTD("rtdtrading.rtdserver",, "MRVE3_B_0", "QTE")</f>
        <v>0</v>
      </c>
      <c r="Z11">
        <f>RTD("rtdtrading.rtdserver",, "MRVE3_B_0", "VPJ")</f>
        <v>37101300.577124298</v>
      </c>
      <c r="AA11">
        <f>RTD("rtdtrading.rtdserver",, "MRVE3_B_0", "SEM")</f>
        <v>1.1235955056179716</v>
      </c>
      <c r="AB11">
        <f>RTD("rtdtrading.rtdserver",, "MRVE3_B_0", "MES")</f>
        <v>22.676579925650557</v>
      </c>
      <c r="AC11">
        <f>RTD("rtdtrading.rtdserver",, "MRVE3_B_0", "3M")</f>
        <v>20.000000000000004</v>
      </c>
      <c r="AD11">
        <f>RTD("rtdtrading.rtdserver",, "MRVE3_B_0", "6M")</f>
        <v>39.24050632911392</v>
      </c>
      <c r="AE11">
        <f>RTD("rtdtrading.rtdserver",, "MRVE3_B_0", "12M")</f>
        <v>67.796610169491515</v>
      </c>
      <c r="AF11">
        <f>RTD("rtdtrading.rtdserver",, "MRVE3_B_0", "ANO")</f>
        <v>27.08600770218229</v>
      </c>
      <c r="AG11">
        <f>RTD("rtdtrading.rtdserver",, "MRVE3_B_0", "TRIM")</f>
        <v>27.08600770218229</v>
      </c>
      <c r="AH11">
        <f>RTD("rtdtrading.rtdserver",, "MRVE3_B_0", "SEMES")</f>
        <v>27.08600770218229</v>
      </c>
      <c r="AI11" t="str">
        <f>RTD("rtdtrading.rtdserver",, "MRVE3_B_0", "VEN")</f>
        <v>-</v>
      </c>
      <c r="AJ11" t="str">
        <f>RTD("rtdtrading.rtdserver",, "MRVE3_B_0", "VAL")</f>
        <v>31/12/9999</v>
      </c>
      <c r="AK11">
        <f>RTD("rtdtrading.rtdserver",, "MRVE3_B_0", "CAB")</f>
        <v>0</v>
      </c>
      <c r="AL11" t="str">
        <f>RTD("rtdtrading.rtdserver",, "MRVE3_B_0", "EST")</f>
        <v>Aberto</v>
      </c>
      <c r="AM11" t="str">
        <f>RTD("rtdtrading.rtdserver",, "MRVE3_B_0", "BLACK")</f>
        <v>-</v>
      </c>
      <c r="AN11" t="str">
        <f>RTD("rtdtrading.rtdserver",, "MRVE3_B_0", "IMPVT")</f>
        <v>-</v>
      </c>
      <c r="AO11" t="str">
        <f>RTD("rtdtrading.rtdserver",, "MRVE3_B_0", "DELTA")</f>
        <v>-</v>
      </c>
      <c r="AP11" t="str">
        <f>RTD("rtdtrading.rtdserver",, "MRVE3_B_0", "GAMA")</f>
        <v>-</v>
      </c>
      <c r="AQ11" t="str">
        <f>RTD("rtdtrading.rtdserver",, "MRVE3_B_0", "THETA")</f>
        <v>-</v>
      </c>
      <c r="AR11" t="str">
        <f>RTD("rtdtrading.rtdserver",, "MRVE3_B_0", "RHO")</f>
        <v>-</v>
      </c>
      <c r="AS11" t="str">
        <f>RTD("rtdtrading.rtdserver",, "MRVE3_B_0", "VEGA")</f>
        <v>-</v>
      </c>
      <c r="AT11" t="str">
        <f>RTD("rtdtrading.rtdserver",, "MRVE3_B_0", "VIA")</f>
        <v>-</v>
      </c>
      <c r="AU11" t="str">
        <f>RTD("rtdtrading.rtdserver",, "MRVE3_B_0", "VIB")</f>
        <v>-</v>
      </c>
      <c r="AV11" t="str">
        <f>RTD("rtdtrading.rtdserver",, "MRVE3_B_0", "DOBRAR")</f>
        <v>-</v>
      </c>
      <c r="AW11" t="str">
        <f>RTD("rtdtrading.rtdserver",, "MRVE3_B_0", "VIVH")</f>
        <v>-</v>
      </c>
      <c r="AX11" t="str">
        <f>RTD("rtdtrading.rtdserver",, "MRVE3_B_0", "VINT")</f>
        <v>-</v>
      </c>
      <c r="AY11" t="str">
        <f>RTD("rtdtrading.rtdserver",, "MRVE3_B_0", "VEXT")</f>
        <v>-</v>
      </c>
      <c r="AZ11" t="str">
        <f>RTD("rtdtrading.rtdserver",, "MRVE3_B_0", "67")</f>
        <v>9,87</v>
      </c>
    </row>
    <row r="12" spans="1:52" x14ac:dyDescent="0.35">
      <c r="A12" t="s">
        <v>78</v>
      </c>
      <c r="B12" t="str">
        <f>RTD("rtdtrading.rtdserver",, "BBDC4_B_0", "DAT")</f>
        <v>19/02/2026</v>
      </c>
      <c r="C12" t="str">
        <f>RTD("rtdtrading.rtdserver",, "BBDC4_B_0", "HOR")</f>
        <v>10:14:32</v>
      </c>
      <c r="D12">
        <f>RTD("rtdtrading.rtdserver",, "BBDC4_B_0", "ULT")</f>
        <v>20.89</v>
      </c>
      <c r="E12">
        <f>RTD("rtdtrading.rtdserver",, "BBDC4_B_0", "ABE")</f>
        <v>20.91</v>
      </c>
      <c r="F12">
        <f>RTD("rtdtrading.rtdserver",, "BBDC4_B_0", "MAX")</f>
        <v>20.93</v>
      </c>
      <c r="G12">
        <f>RTD("rtdtrading.rtdserver",, "BBDC4_B_0", "MIN")</f>
        <v>20.87</v>
      </c>
      <c r="H12">
        <f>RTD("rtdtrading.rtdserver",, "BBDC4_B_0", "FEC")</f>
        <v>20.91</v>
      </c>
      <c r="I12">
        <f>RTD("rtdtrading.rtdserver",, "BBDC4_B_0", "PEX")</f>
        <v>0</v>
      </c>
      <c r="J12">
        <f>RTD("rtdtrading.rtdserver",, "BBDC4_B_0", "VAR")</f>
        <v>-9.5648015303680403E-2</v>
      </c>
      <c r="K12">
        <f>RTD("rtdtrading.rtdserver",, "BBDC4_B_0", "VARPTS")</f>
        <v>-1.9999999999999574E-2</v>
      </c>
      <c r="L12">
        <f>RTD("rtdtrading.rtdserver",, "BBDC4_B_0", "MED")</f>
        <v>20.904586750788642</v>
      </c>
      <c r="M12" t="s">
        <v>79</v>
      </c>
      <c r="N12">
        <f>RTD("rtdtrading.rtdserver",, "BBDC4_B_0", "NEG")</f>
        <v>340</v>
      </c>
      <c r="O12">
        <f>RTD("rtdtrading.rtdserver",, "BBDC4_B_0", "QUL")</f>
        <v>200</v>
      </c>
      <c r="P12">
        <f>RTD("rtdtrading.rtdserver",, "BBDC4_B_0", "QTT")</f>
        <v>317000</v>
      </c>
      <c r="Q12">
        <f>RTD("rtdtrading.rtdserver",, "BBDC4_B_0", "VOL")</f>
        <v>6626754</v>
      </c>
      <c r="R12">
        <f>RTD("rtdtrading.rtdserver",, "BBDC4_B_0", "OCP")</f>
        <v>20.89</v>
      </c>
      <c r="S12">
        <f>RTD("rtdtrading.rtdserver",, "BBDC4_B_0", "OVD")</f>
        <v>20.900000000000002</v>
      </c>
      <c r="T12">
        <f>RTD("rtdtrading.rtdserver",, "BBDC4_B_0", "VOC")</f>
        <v>500</v>
      </c>
      <c r="U12">
        <f>RTD("rtdtrading.rtdserver",, "BBDC4_B_0", "VOV")</f>
        <v>3500</v>
      </c>
      <c r="V12">
        <f>RTD("rtdtrading.rtdserver",, "BBDC4_B_0", "AJU")</f>
        <v>0</v>
      </c>
      <c r="W12">
        <f>RTD("rtdtrading.rtdserver",, "BBDC4_B_0", "AJA")</f>
        <v>0</v>
      </c>
      <c r="X12">
        <f>RTD("rtdtrading.rtdserver",, "BBDC4_B_0", "PRT")</f>
        <v>0</v>
      </c>
      <c r="Y12">
        <f>RTD("rtdtrading.rtdserver",, "BBDC4_B_0", "QTE")</f>
        <v>0</v>
      </c>
      <c r="Z12">
        <f>RTD("rtdtrading.rtdserver",, "BBDC4_B_0", "VPJ")</f>
        <v>170785683.97275943</v>
      </c>
      <c r="AA12">
        <f>RTD("rtdtrading.rtdserver",, "BBDC4_B_0", "SEM")</f>
        <v>-0.38149737720554044</v>
      </c>
      <c r="AB12">
        <f>RTD("rtdtrading.rtdserver",, "BBDC4_B_0", "MES")</f>
        <v>-1.897708755007254</v>
      </c>
      <c r="AC12">
        <f>RTD("rtdtrading.rtdserver",, "BBDC4_B_0", "3M")</f>
        <v>12.805503655783923</v>
      </c>
      <c r="AD12">
        <f>RTD("rtdtrading.rtdserver",, "BBDC4_B_0", "6M")</f>
        <v>36.909092100692739</v>
      </c>
      <c r="AE12">
        <f>RTD("rtdtrading.rtdserver",, "BBDC4_B_0", "12M")</f>
        <v>84.535745519111671</v>
      </c>
      <c r="AF12">
        <f>RTD("rtdtrading.rtdserver",, "BBDC4_B_0", "ANO")</f>
        <v>15.031139353424786</v>
      </c>
      <c r="AG12">
        <f>RTD("rtdtrading.rtdserver",, "BBDC4_B_0", "TRIM")</f>
        <v>15.031139353424786</v>
      </c>
      <c r="AH12">
        <f>RTD("rtdtrading.rtdserver",, "BBDC4_B_0", "SEMES")</f>
        <v>15.031139353424786</v>
      </c>
      <c r="AI12" t="str">
        <f>RTD("rtdtrading.rtdserver",, "BBDC4_B_0", "VEN")</f>
        <v>-</v>
      </c>
      <c r="AJ12" t="str">
        <f>RTD("rtdtrading.rtdserver",, "BBDC4_B_0", "VAL")</f>
        <v>31/12/9999</v>
      </c>
      <c r="AK12">
        <f>RTD("rtdtrading.rtdserver",, "BBDC4_B_0", "CAB")</f>
        <v>0</v>
      </c>
      <c r="AL12" t="str">
        <f>RTD("rtdtrading.rtdserver",, "BBDC4_B_0", "EST")</f>
        <v>Aberto</v>
      </c>
      <c r="AM12" t="str">
        <f>RTD("rtdtrading.rtdserver",, "BBDC4_B_0", "BLACK")</f>
        <v>-</v>
      </c>
      <c r="AN12" t="str">
        <f>RTD("rtdtrading.rtdserver",, "BBDC4_B_0", "IMPVT")</f>
        <v>-</v>
      </c>
      <c r="AO12" t="str">
        <f>RTD("rtdtrading.rtdserver",, "BBDC4_B_0", "DELTA")</f>
        <v>-</v>
      </c>
      <c r="AP12" t="str">
        <f>RTD("rtdtrading.rtdserver",, "BBDC4_B_0", "GAMA")</f>
        <v>-</v>
      </c>
      <c r="AQ12" t="str">
        <f>RTD("rtdtrading.rtdserver",, "BBDC4_B_0", "THETA")</f>
        <v>-</v>
      </c>
      <c r="AR12" t="str">
        <f>RTD("rtdtrading.rtdserver",, "BBDC4_B_0", "RHO")</f>
        <v>-</v>
      </c>
      <c r="AS12" t="str">
        <f>RTD("rtdtrading.rtdserver",, "BBDC4_B_0", "VEGA")</f>
        <v>-</v>
      </c>
      <c r="AT12" t="str">
        <f>RTD("rtdtrading.rtdserver",, "BBDC4_B_0", "VIA")</f>
        <v>-</v>
      </c>
      <c r="AU12" t="str">
        <f>RTD("rtdtrading.rtdserver",, "BBDC4_B_0", "VIB")</f>
        <v>-</v>
      </c>
      <c r="AV12" t="str">
        <f>RTD("rtdtrading.rtdserver",, "BBDC4_B_0", "DOBRAR")</f>
        <v>-</v>
      </c>
      <c r="AW12" t="str">
        <f>RTD("rtdtrading.rtdserver",, "BBDC4_B_0", "VIVH")</f>
        <v>-</v>
      </c>
      <c r="AX12" t="str">
        <f>RTD("rtdtrading.rtdserver",, "BBDC4_B_0", "VINT")</f>
        <v>-</v>
      </c>
      <c r="AY12" t="str">
        <f>RTD("rtdtrading.rtdserver",, "BBDC4_B_0", "VEXT")</f>
        <v>-</v>
      </c>
      <c r="AZ12" t="str">
        <f>RTD("rtdtrading.rtdserver",, "BBDC4_B_0", "67")</f>
        <v>20,90</v>
      </c>
    </row>
    <row r="13" spans="1:52" x14ac:dyDescent="0.35">
      <c r="A13" t="s">
        <v>80</v>
      </c>
      <c r="B13" t="str">
        <f>RTD("rtdtrading.rtdserver",, "RENT3_B_0", "DAT")</f>
        <v>19/02/2026</v>
      </c>
      <c r="C13" t="str">
        <f>RTD("rtdtrading.rtdserver",, "RENT3_B_0", "HOR")</f>
        <v>10:14:34</v>
      </c>
      <c r="D13">
        <f>RTD("rtdtrading.rtdserver",, "RENT3_B_0", "ULT")</f>
        <v>51.37</v>
      </c>
      <c r="E13">
        <f>RTD("rtdtrading.rtdserver",, "RENT3_B_0", "ABE")</f>
        <v>51.47</v>
      </c>
      <c r="F13">
        <f>RTD("rtdtrading.rtdserver",, "RENT3_B_0", "MAX")</f>
        <v>51.5</v>
      </c>
      <c r="G13">
        <f>RTD("rtdtrading.rtdserver",, "RENT3_B_0", "MIN")</f>
        <v>51.34</v>
      </c>
      <c r="H13">
        <f>RTD("rtdtrading.rtdserver",, "RENT3_B_0", "FEC")</f>
        <v>51.300000000000004</v>
      </c>
      <c r="I13">
        <f>RTD("rtdtrading.rtdserver",, "RENT3_B_0", "PEX")</f>
        <v>0</v>
      </c>
      <c r="J13">
        <f>RTD("rtdtrading.rtdserver",, "RENT3_B_0", "VAR")</f>
        <v>0.13645224171538631</v>
      </c>
      <c r="K13">
        <f>RTD("rtdtrading.rtdserver",, "RENT3_B_0", "VARPTS")</f>
        <v>6.9999999999993179E-2</v>
      </c>
      <c r="L13">
        <f>RTD("rtdtrading.rtdserver",, "RENT3_B_0", "MED")</f>
        <v>51.428201634877382</v>
      </c>
      <c r="M13" t="s">
        <v>81</v>
      </c>
      <c r="N13">
        <f>RTD("rtdtrading.rtdserver",, "RENT3_B_0", "NEG")</f>
        <v>194</v>
      </c>
      <c r="O13">
        <f>RTD("rtdtrading.rtdserver",, "RENT3_B_0", "QUL")</f>
        <v>100</v>
      </c>
      <c r="P13">
        <f>RTD("rtdtrading.rtdserver",, "RENT3_B_0", "QTT")</f>
        <v>36700</v>
      </c>
      <c r="Q13">
        <f>RTD("rtdtrading.rtdserver",, "RENT3_B_0", "VOL")</f>
        <v>1887415</v>
      </c>
      <c r="R13">
        <f>RTD("rtdtrading.rtdserver",, "RENT3_B_0", "OCP")</f>
        <v>51.35</v>
      </c>
      <c r="S13">
        <f>RTD("rtdtrading.rtdserver",, "RENT3_B_0", "OVD")</f>
        <v>51.38</v>
      </c>
      <c r="T13">
        <f>RTD("rtdtrading.rtdserver",, "RENT3_B_0", "VOC")</f>
        <v>100</v>
      </c>
      <c r="U13">
        <f>RTD("rtdtrading.rtdserver",, "RENT3_B_0", "VOV")</f>
        <v>300</v>
      </c>
      <c r="V13">
        <f>RTD("rtdtrading.rtdserver",, "RENT3_B_0", "AJU")</f>
        <v>0</v>
      </c>
      <c r="W13">
        <f>RTD("rtdtrading.rtdserver",, "RENT3_B_0", "AJA")</f>
        <v>0</v>
      </c>
      <c r="X13">
        <f>RTD("rtdtrading.rtdserver",, "RENT3_B_0", "PRT")</f>
        <v>0</v>
      </c>
      <c r="Y13">
        <f>RTD("rtdtrading.rtdserver",, "RENT3_B_0", "QTE")</f>
        <v>0</v>
      </c>
      <c r="Z13">
        <f>RTD("rtdtrading.rtdserver",, "RENT3_B_0", "VPJ")</f>
        <v>48531427.853908606</v>
      </c>
      <c r="AA13">
        <f>RTD("rtdtrading.rtdserver",, "RENT3_B_0", "SEM")</f>
        <v>-0.13608087091758822</v>
      </c>
      <c r="AB13">
        <f>RTD("rtdtrading.rtdserver",, "RENT3_B_0", "MES")</f>
        <v>6.1582971688365307</v>
      </c>
      <c r="AC13">
        <f>RTD("rtdtrading.rtdserver",, "RENT3_B_0", "3M")</f>
        <v>26.051760479570863</v>
      </c>
      <c r="AD13">
        <f>RTD("rtdtrading.rtdserver",, "RENT3_B_0", "6M")</f>
        <v>63.899382306396433</v>
      </c>
      <c r="AE13">
        <f>RTD("rtdtrading.rtdserver",, "RENT3_B_0", "12M")</f>
        <v>74.014667773242309</v>
      </c>
      <c r="AF13">
        <f>RTD("rtdtrading.rtdserver",, "RENT3_B_0", "ANO")</f>
        <v>17.902226302501713</v>
      </c>
      <c r="AG13">
        <f>RTD("rtdtrading.rtdserver",, "RENT3_B_0", "TRIM")</f>
        <v>17.902226302501713</v>
      </c>
      <c r="AH13">
        <f>RTD("rtdtrading.rtdserver",, "RENT3_B_0", "SEMES")</f>
        <v>17.902226302501713</v>
      </c>
      <c r="AI13" t="str">
        <f>RTD("rtdtrading.rtdserver",, "RENT3_B_0", "VEN")</f>
        <v>-</v>
      </c>
      <c r="AJ13" t="str">
        <f>RTD("rtdtrading.rtdserver",, "RENT3_B_0", "VAL")</f>
        <v>31/12/9999</v>
      </c>
      <c r="AK13">
        <f>RTD("rtdtrading.rtdserver",, "RENT3_B_0", "CAB")</f>
        <v>0</v>
      </c>
      <c r="AL13" t="str">
        <f>RTD("rtdtrading.rtdserver",, "RENT3_B_0", "EST")</f>
        <v>Aberto</v>
      </c>
      <c r="AM13" t="str">
        <f>RTD("rtdtrading.rtdserver",, "RENT3_B_0", "BLACK")</f>
        <v>-</v>
      </c>
      <c r="AN13" t="str">
        <f>RTD("rtdtrading.rtdserver",, "RENT3_B_0", "IMPVT")</f>
        <v>-</v>
      </c>
      <c r="AO13" t="str">
        <f>RTD("rtdtrading.rtdserver",, "RENT3_B_0", "DELTA")</f>
        <v>-</v>
      </c>
      <c r="AP13" t="str">
        <f>RTD("rtdtrading.rtdserver",, "RENT3_B_0", "GAMA")</f>
        <v>-</v>
      </c>
      <c r="AQ13" t="str">
        <f>RTD("rtdtrading.rtdserver",, "RENT3_B_0", "THETA")</f>
        <v>-</v>
      </c>
      <c r="AR13" t="str">
        <f>RTD("rtdtrading.rtdserver",, "RENT3_B_0", "RHO")</f>
        <v>-</v>
      </c>
      <c r="AS13" t="str">
        <f>RTD("rtdtrading.rtdserver",, "RENT3_B_0", "VEGA")</f>
        <v>-</v>
      </c>
      <c r="AT13" t="str">
        <f>RTD("rtdtrading.rtdserver",, "RENT3_B_0", "VIA")</f>
        <v>-</v>
      </c>
      <c r="AU13" t="str">
        <f>RTD("rtdtrading.rtdserver",, "RENT3_B_0", "VIB")</f>
        <v>-</v>
      </c>
      <c r="AV13" t="str">
        <f>RTD("rtdtrading.rtdserver",, "RENT3_B_0", "DOBRAR")</f>
        <v>-</v>
      </c>
      <c r="AW13" t="str">
        <f>RTD("rtdtrading.rtdserver",, "RENT3_B_0", "VIVH")</f>
        <v>-</v>
      </c>
      <c r="AX13" t="str">
        <f>RTD("rtdtrading.rtdserver",, "RENT3_B_0", "VINT")</f>
        <v>-</v>
      </c>
      <c r="AY13" t="str">
        <f>RTD("rtdtrading.rtdserver",, "RENT3_B_0", "VEXT")</f>
        <v>-</v>
      </c>
      <c r="AZ13" t="str">
        <f>RTD("rtdtrading.rtdserver",, "RENT3_B_0", "67")</f>
        <v>51,43</v>
      </c>
    </row>
    <row r="14" spans="1:52" x14ac:dyDescent="0.35">
      <c r="A14" t="s">
        <v>82</v>
      </c>
      <c r="B14" t="str">
        <f>RTD("rtdtrading.rtdserver",, "BRAP4_B_0", "DAT")</f>
        <v>19/02/2026</v>
      </c>
      <c r="C14" t="str">
        <f>RTD("rtdtrading.rtdserver",, "BRAP4_B_0", "HOR")</f>
        <v>10:14:33</v>
      </c>
      <c r="D14">
        <f>RTD("rtdtrading.rtdserver",, "BRAP4_B_0", "ULT")</f>
        <v>23.15</v>
      </c>
      <c r="E14">
        <f>RTD("rtdtrading.rtdserver",, "BRAP4_B_0", "ABE")</f>
        <v>23.18</v>
      </c>
      <c r="F14">
        <f>RTD("rtdtrading.rtdserver",, "BRAP4_B_0", "MAX")</f>
        <v>23.23</v>
      </c>
      <c r="G14">
        <f>RTD("rtdtrading.rtdserver",, "BRAP4_B_0", "MIN")</f>
        <v>23.06</v>
      </c>
      <c r="H14">
        <f>RTD("rtdtrading.rtdserver",, "BRAP4_B_0", "FEC")</f>
        <v>23.37</v>
      </c>
      <c r="I14">
        <f>RTD("rtdtrading.rtdserver",, "BRAP4_B_0", "PEX")</f>
        <v>0</v>
      </c>
      <c r="J14">
        <f>RTD("rtdtrading.rtdserver",, "BRAP4_B_0", "VAR")</f>
        <v>-0.94137783483099013</v>
      </c>
      <c r="K14">
        <f>RTD("rtdtrading.rtdserver",, "BRAP4_B_0", "VARPTS")</f>
        <v>-0.22000000000000242</v>
      </c>
      <c r="L14">
        <f>RTD("rtdtrading.rtdserver",, "BRAP4_B_0", "MED")</f>
        <v>23.145602678571429</v>
      </c>
      <c r="M14" t="s">
        <v>83</v>
      </c>
      <c r="N14">
        <f>RTD("rtdtrading.rtdserver",, "BRAP4_B_0", "NEG")</f>
        <v>293</v>
      </c>
      <c r="O14">
        <f>RTD("rtdtrading.rtdserver",, "BRAP4_B_0", "QUL")</f>
        <v>300</v>
      </c>
      <c r="P14">
        <f>RTD("rtdtrading.rtdserver",, "BRAP4_B_0", "QTT")</f>
        <v>89600</v>
      </c>
      <c r="Q14">
        <f>RTD("rtdtrading.rtdserver",, "BRAP4_B_0", "VOL")</f>
        <v>2073846</v>
      </c>
      <c r="R14">
        <f>RTD("rtdtrading.rtdserver",, "BRAP4_B_0", "OCP")</f>
        <v>23.11</v>
      </c>
      <c r="S14">
        <f>RTD("rtdtrading.rtdserver",, "BRAP4_B_0", "OVD")</f>
        <v>23.14</v>
      </c>
      <c r="T14">
        <f>RTD("rtdtrading.rtdserver",, "BRAP4_B_0", "VOC")</f>
        <v>1300</v>
      </c>
      <c r="U14">
        <f>RTD("rtdtrading.rtdserver",, "BRAP4_B_0", "VOV")</f>
        <v>200</v>
      </c>
      <c r="V14">
        <f>RTD("rtdtrading.rtdserver",, "BRAP4_B_0", "AJU")</f>
        <v>0</v>
      </c>
      <c r="W14">
        <f>RTD("rtdtrading.rtdserver",, "BRAP4_B_0", "AJA")</f>
        <v>0</v>
      </c>
      <c r="X14">
        <f>RTD("rtdtrading.rtdserver",, "BRAP4_B_0", "PRT")</f>
        <v>0</v>
      </c>
      <c r="Y14">
        <f>RTD("rtdtrading.rtdserver",, "BRAP4_B_0", "QTE")</f>
        <v>0</v>
      </c>
      <c r="Z14">
        <f>RTD("rtdtrading.rtdserver",, "BRAP4_B_0", "VPJ")</f>
        <v>53386243.011681363</v>
      </c>
      <c r="AA14">
        <f>RTD("rtdtrading.rtdserver",, "BRAP4_B_0", "SEM")</f>
        <v>-3.0975303474257094</v>
      </c>
      <c r="AB14">
        <f>RTD("rtdtrading.rtdserver",, "BRAP4_B_0", "MES")</f>
        <v>-2.7719445611087927</v>
      </c>
      <c r="AC14">
        <f>RTD("rtdtrading.rtdserver",, "BRAP4_B_0", "3M")</f>
        <v>35.94775847691529</v>
      </c>
      <c r="AD14">
        <f>RTD("rtdtrading.rtdserver",, "BRAP4_B_0", "6M")</f>
        <v>63.860163223125852</v>
      </c>
      <c r="AE14">
        <f>RTD("rtdtrading.rtdserver",, "BRAP4_B_0", "12M")</f>
        <v>60.81414330867284</v>
      </c>
      <c r="AF14">
        <f>RTD("rtdtrading.rtdserver",, "BRAP4_B_0", "ANO")</f>
        <v>16.331658291457266</v>
      </c>
      <c r="AG14">
        <f>RTD("rtdtrading.rtdserver",, "BRAP4_B_0", "TRIM")</f>
        <v>16.331658291457266</v>
      </c>
      <c r="AH14">
        <f>RTD("rtdtrading.rtdserver",, "BRAP4_B_0", "SEMES")</f>
        <v>16.331658291457266</v>
      </c>
      <c r="AI14" t="str">
        <f>RTD("rtdtrading.rtdserver",, "BRAP4_B_0", "VEN")</f>
        <v>-</v>
      </c>
      <c r="AJ14" t="str">
        <f>RTD("rtdtrading.rtdserver",, "BRAP4_B_0", "VAL")</f>
        <v>31/12/9999</v>
      </c>
      <c r="AK14">
        <f>RTD("rtdtrading.rtdserver",, "BRAP4_B_0", "CAB")</f>
        <v>0</v>
      </c>
      <c r="AL14" t="str">
        <f>RTD("rtdtrading.rtdserver",, "BRAP4_B_0", "EST")</f>
        <v>Aberto</v>
      </c>
      <c r="AM14" t="str">
        <f>RTD("rtdtrading.rtdserver",, "BRAP4_B_0", "BLACK")</f>
        <v>-</v>
      </c>
      <c r="AN14" t="str">
        <f>RTD("rtdtrading.rtdserver",, "BRAP4_B_0", "IMPVT")</f>
        <v>-</v>
      </c>
      <c r="AO14" t="str">
        <f>RTD("rtdtrading.rtdserver",, "BRAP4_B_0", "DELTA")</f>
        <v>-</v>
      </c>
      <c r="AP14" t="str">
        <f>RTD("rtdtrading.rtdserver",, "BRAP4_B_0", "GAMA")</f>
        <v>-</v>
      </c>
      <c r="AQ14" t="str">
        <f>RTD("rtdtrading.rtdserver",, "BRAP4_B_0", "THETA")</f>
        <v>-</v>
      </c>
      <c r="AR14" t="str">
        <f>RTD("rtdtrading.rtdserver",, "BRAP4_B_0", "RHO")</f>
        <v>-</v>
      </c>
      <c r="AS14" t="str">
        <f>RTD("rtdtrading.rtdserver",, "BRAP4_B_0", "VEGA")</f>
        <v>-</v>
      </c>
      <c r="AT14" t="str">
        <f>RTD("rtdtrading.rtdserver",, "BRAP4_B_0", "VIA")</f>
        <v>-</v>
      </c>
      <c r="AU14" t="str">
        <f>RTD("rtdtrading.rtdserver",, "BRAP4_B_0", "VIB")</f>
        <v>-</v>
      </c>
      <c r="AV14" t="str">
        <f>RTD("rtdtrading.rtdserver",, "BRAP4_B_0", "DOBRAR")</f>
        <v>-</v>
      </c>
      <c r="AW14" t="str">
        <f>RTD("rtdtrading.rtdserver",, "BRAP4_B_0", "VIVH")</f>
        <v>-</v>
      </c>
      <c r="AX14" t="str">
        <f>RTD("rtdtrading.rtdserver",, "BRAP4_B_0", "VINT")</f>
        <v>-</v>
      </c>
      <c r="AY14" t="str">
        <f>RTD("rtdtrading.rtdserver",, "BRAP4_B_0", "VEXT")</f>
        <v>-</v>
      </c>
      <c r="AZ14" t="str">
        <f>RTD("rtdtrading.rtdserver",, "BRAP4_B_0", "67")</f>
        <v>23,15</v>
      </c>
    </row>
    <row r="15" spans="1:52" x14ac:dyDescent="0.35">
      <c r="A15" t="s">
        <v>84</v>
      </c>
      <c r="B15" t="str">
        <f>RTD("rtdtrading.rtdserver",, "BBAS3_B_0", "DAT")</f>
        <v>19/02/2026</v>
      </c>
      <c r="C15" t="str">
        <f>RTD("rtdtrading.rtdserver",, "BBAS3_B_0", "HOR")</f>
        <v>10:14:36</v>
      </c>
      <c r="D15">
        <f>RTD("rtdtrading.rtdserver",, "BBAS3_B_0", "ULT")</f>
        <v>25.62</v>
      </c>
      <c r="E15">
        <f>RTD("rtdtrading.rtdserver",, "BBAS3_B_0", "ABE")</f>
        <v>25.73</v>
      </c>
      <c r="F15">
        <f>RTD("rtdtrading.rtdserver",, "BBAS3_B_0", "MAX")</f>
        <v>25.87</v>
      </c>
      <c r="G15">
        <f>RTD("rtdtrading.rtdserver",, "BBAS3_B_0", "MIN")</f>
        <v>25.56</v>
      </c>
      <c r="H15">
        <f>RTD("rtdtrading.rtdserver",, "BBAS3_B_0", "FEC")</f>
        <v>25.82</v>
      </c>
      <c r="I15">
        <f>RTD("rtdtrading.rtdserver",, "BBAS3_B_0", "PEX")</f>
        <v>0</v>
      </c>
      <c r="J15">
        <f>RTD("rtdtrading.rtdserver",, "BBAS3_B_0", "VAR")</f>
        <v>-0.77459333849728618</v>
      </c>
      <c r="K15">
        <f>RTD("rtdtrading.rtdserver",, "BBAS3_B_0", "VARPTS")</f>
        <v>-0.19999999999999929</v>
      </c>
      <c r="L15">
        <f>RTD("rtdtrading.rtdserver",, "BBAS3_B_0", "MED")</f>
        <v>25.68180039352864</v>
      </c>
      <c r="M15" t="s">
        <v>85</v>
      </c>
      <c r="N15">
        <f>RTD("rtdtrading.rtdserver",, "BBAS3_B_0", "NEG")</f>
        <v>931</v>
      </c>
      <c r="O15">
        <f>RTD("rtdtrading.rtdserver",, "BBAS3_B_0", "QUL")</f>
        <v>100</v>
      </c>
      <c r="P15">
        <f>RTD("rtdtrading.rtdserver",, "BBAS3_B_0", "QTT")</f>
        <v>914800</v>
      </c>
      <c r="Q15">
        <f>RTD("rtdtrading.rtdserver",, "BBAS3_B_0", "VOL")</f>
        <v>23493711</v>
      </c>
      <c r="R15">
        <f>RTD("rtdtrading.rtdserver",, "BBAS3_B_0", "OCP")</f>
        <v>25.61</v>
      </c>
      <c r="S15">
        <f>RTD("rtdtrading.rtdserver",, "BBAS3_B_0", "OVD")</f>
        <v>25.63</v>
      </c>
      <c r="T15">
        <f>RTD("rtdtrading.rtdserver",, "BBAS3_B_0", "VOC")</f>
        <v>21500</v>
      </c>
      <c r="U15">
        <f>RTD("rtdtrading.rtdserver",, "BBAS3_B_0", "VOV")</f>
        <v>5300</v>
      </c>
      <c r="V15">
        <f>RTD("rtdtrading.rtdserver",, "BBAS3_B_0", "AJU")</f>
        <v>0</v>
      </c>
      <c r="W15">
        <f>RTD("rtdtrading.rtdserver",, "BBAS3_B_0", "AJA")</f>
        <v>0</v>
      </c>
      <c r="X15">
        <f>RTD("rtdtrading.rtdserver",, "BBAS3_B_0", "PRT")</f>
        <v>0</v>
      </c>
      <c r="Y15">
        <f>RTD("rtdtrading.rtdserver",, "BBAS3_B_0", "QTE")</f>
        <v>0</v>
      </c>
      <c r="Z15">
        <f>RTD("rtdtrading.rtdserver",, "BBAS3_B_0", "VPJ")</f>
        <v>602718629.50417614</v>
      </c>
      <c r="AA15">
        <f>RTD("rtdtrading.rtdserver",, "BBAS3_B_0", "SEM")</f>
        <v>0.74714903657098419</v>
      </c>
      <c r="AB15">
        <f>RTD("rtdtrading.rtdserver",, "BBAS3_B_0", "MES")</f>
        <v>1.5860428231562196</v>
      </c>
      <c r="AC15">
        <f>RTD("rtdtrading.rtdserver",, "BBAS3_B_0", "3M")</f>
        <v>19.25375635368373</v>
      </c>
      <c r="AD15">
        <f>RTD("rtdtrading.rtdserver",, "BBAS3_B_0", "6M")</f>
        <v>29.58176751149394</v>
      </c>
      <c r="AE15">
        <f>RTD("rtdtrading.rtdserver",, "BBAS3_B_0", "12M")</f>
        <v>-9.4011351380023687</v>
      </c>
      <c r="AF15">
        <f>RTD("rtdtrading.rtdserver",, "BBAS3_B_0", "ANO")</f>
        <v>16.879562043795616</v>
      </c>
      <c r="AG15">
        <f>RTD("rtdtrading.rtdserver",, "BBAS3_B_0", "TRIM")</f>
        <v>16.879562043795616</v>
      </c>
      <c r="AH15">
        <f>RTD("rtdtrading.rtdserver",, "BBAS3_B_0", "SEMES")</f>
        <v>16.879562043795616</v>
      </c>
      <c r="AI15" t="str">
        <f>RTD("rtdtrading.rtdserver",, "BBAS3_B_0", "VEN")</f>
        <v>-</v>
      </c>
      <c r="AJ15" t="str">
        <f>RTD("rtdtrading.rtdserver",, "BBAS3_B_0", "VAL")</f>
        <v>31/12/9999</v>
      </c>
      <c r="AK15">
        <f>RTD("rtdtrading.rtdserver",, "BBAS3_B_0", "CAB")</f>
        <v>0</v>
      </c>
      <c r="AL15" t="str">
        <f>RTD("rtdtrading.rtdserver",, "BBAS3_B_0", "EST")</f>
        <v>Aberto</v>
      </c>
      <c r="AM15" t="str">
        <f>RTD("rtdtrading.rtdserver",, "BBAS3_B_0", "BLACK")</f>
        <v>-</v>
      </c>
      <c r="AN15" t="str">
        <f>RTD("rtdtrading.rtdserver",, "BBAS3_B_0", "IMPVT")</f>
        <v>-</v>
      </c>
      <c r="AO15" t="str">
        <f>RTD("rtdtrading.rtdserver",, "BBAS3_B_0", "DELTA")</f>
        <v>-</v>
      </c>
      <c r="AP15" t="str">
        <f>RTD("rtdtrading.rtdserver",, "BBAS3_B_0", "GAMA")</f>
        <v>-</v>
      </c>
      <c r="AQ15" t="str">
        <f>RTD("rtdtrading.rtdserver",, "BBAS3_B_0", "THETA")</f>
        <v>-</v>
      </c>
      <c r="AR15" t="str">
        <f>RTD("rtdtrading.rtdserver",, "BBAS3_B_0", "RHO")</f>
        <v>-</v>
      </c>
      <c r="AS15" t="str">
        <f>RTD("rtdtrading.rtdserver",, "BBAS3_B_0", "VEGA")</f>
        <v>-</v>
      </c>
      <c r="AT15" t="str">
        <f>RTD("rtdtrading.rtdserver",, "BBAS3_B_0", "VIA")</f>
        <v>-</v>
      </c>
      <c r="AU15" t="str">
        <f>RTD("rtdtrading.rtdserver",, "BBAS3_B_0", "VIB")</f>
        <v>-</v>
      </c>
      <c r="AV15" t="str">
        <f>RTD("rtdtrading.rtdserver",, "BBAS3_B_0", "DOBRAR")</f>
        <v>-</v>
      </c>
      <c r="AW15" t="str">
        <f>RTD("rtdtrading.rtdserver",, "BBAS3_B_0", "VIVH")</f>
        <v>-</v>
      </c>
      <c r="AX15" t="str">
        <f>RTD("rtdtrading.rtdserver",, "BBAS3_B_0", "VINT")</f>
        <v>-</v>
      </c>
      <c r="AY15" t="str">
        <f>RTD("rtdtrading.rtdserver",, "BBAS3_B_0", "VEXT")</f>
        <v>-</v>
      </c>
      <c r="AZ15" t="str">
        <f>RTD("rtdtrading.rtdserver",, "BBAS3_B_0", "67")</f>
        <v>25,68</v>
      </c>
    </row>
    <row r="16" spans="1:52" x14ac:dyDescent="0.35">
      <c r="A16" t="s">
        <v>86</v>
      </c>
      <c r="B16" t="str">
        <f>RTD("rtdtrading.rtdserver",, "VALE3_B_0", "DAT")</f>
        <v>19/02/2026</v>
      </c>
      <c r="C16" t="str">
        <f>RTD("rtdtrading.rtdserver",, "VALE3_B_0", "HOR")</f>
        <v>10:14:33</v>
      </c>
      <c r="D16">
        <f>RTD("rtdtrading.rtdserver",, "VALE3_B_0", "ULT")</f>
        <v>83.5</v>
      </c>
      <c r="E16">
        <f>RTD("rtdtrading.rtdserver",, "VALE3_B_0", "ABE")</f>
        <v>83.03</v>
      </c>
      <c r="F16">
        <f>RTD("rtdtrading.rtdserver",, "VALE3_B_0", "MAX")</f>
        <v>83.59</v>
      </c>
      <c r="G16">
        <f>RTD("rtdtrading.rtdserver",, "VALE3_B_0", "MIN")</f>
        <v>82.87</v>
      </c>
      <c r="H16">
        <f>RTD("rtdtrading.rtdserver",, "VALE3_B_0", "FEC")</f>
        <v>83.92</v>
      </c>
      <c r="I16">
        <f>RTD("rtdtrading.rtdserver",, "VALE3_B_0", "PEX")</f>
        <v>0</v>
      </c>
      <c r="J16">
        <f>RTD("rtdtrading.rtdserver",, "VALE3_B_0", "VAR")</f>
        <v>-0.50047664442326223</v>
      </c>
      <c r="K16">
        <f>RTD("rtdtrading.rtdserver",, "VALE3_B_0", "VARPTS")</f>
        <v>-0.42000000000000171</v>
      </c>
      <c r="L16">
        <f>RTD("rtdtrading.rtdserver",, "VALE3_B_0", "MED")</f>
        <v>83.149346681804104</v>
      </c>
      <c r="M16" t="s">
        <v>87</v>
      </c>
      <c r="N16">
        <f>RTD("rtdtrading.rtdserver",, "VALE3_B_0", "NEG")</f>
        <v>1516</v>
      </c>
      <c r="O16">
        <f>RTD("rtdtrading.rtdserver",, "VALE3_B_0", "QUL")</f>
        <v>100</v>
      </c>
      <c r="P16">
        <f>RTD("rtdtrading.rtdserver",, "VALE3_B_0", "QTT")</f>
        <v>968900</v>
      </c>
      <c r="Q16">
        <f>RTD("rtdtrading.rtdserver",, "VALE3_B_0", "VOL")</f>
        <v>80563402</v>
      </c>
      <c r="R16">
        <f>RTD("rtdtrading.rtdserver",, "VALE3_B_0", "OCP")</f>
        <v>83.47</v>
      </c>
      <c r="S16">
        <f>RTD("rtdtrading.rtdserver",, "VALE3_B_0", "OVD")</f>
        <v>83.52</v>
      </c>
      <c r="T16">
        <f>RTD("rtdtrading.rtdserver",, "VALE3_B_0", "VOC")</f>
        <v>1000</v>
      </c>
      <c r="U16">
        <f>RTD("rtdtrading.rtdserver",, "VALE3_B_0", "VOV")</f>
        <v>1300</v>
      </c>
      <c r="V16">
        <f>RTD("rtdtrading.rtdserver",, "VALE3_B_0", "AJU")</f>
        <v>0</v>
      </c>
      <c r="W16">
        <f>RTD("rtdtrading.rtdserver",, "VALE3_B_0", "AJA")</f>
        <v>0</v>
      </c>
      <c r="X16">
        <f>RTD("rtdtrading.rtdserver",, "VALE3_B_0", "PRT")</f>
        <v>0</v>
      </c>
      <c r="Y16">
        <f>RTD("rtdtrading.rtdserver",, "VALE3_B_0", "QTE")</f>
        <v>0</v>
      </c>
      <c r="Z16">
        <f>RTD("rtdtrading.rtdserver",, "VALE3_B_0", "VPJ")</f>
        <v>2073913567.8443704</v>
      </c>
      <c r="AA16">
        <f>RTD("rtdtrading.rtdserver",, "VALE3_B_0", "SEM")</f>
        <v>-4.0560726186372529</v>
      </c>
      <c r="AB16">
        <f>RTD("rtdtrading.rtdserver",, "VALE3_B_0", "MES")</f>
        <v>-0.97248576850095747</v>
      </c>
      <c r="AC16">
        <f>RTD("rtdtrading.rtdserver",, "VALE3_B_0", "3M")</f>
        <v>34.82681616565452</v>
      </c>
      <c r="AD16">
        <f>RTD("rtdtrading.rtdserver",, "VALE3_B_0", "6M")</f>
        <v>65.226459187085808</v>
      </c>
      <c r="AE16">
        <f>RTD("rtdtrading.rtdserver",, "VALE3_B_0", "12M")</f>
        <v>68.079405944978632</v>
      </c>
      <c r="AF16">
        <f>RTD("rtdtrading.rtdserver",, "VALE3_B_0", "ANO")</f>
        <v>16.036687048360186</v>
      </c>
      <c r="AG16">
        <f>RTD("rtdtrading.rtdserver",, "VALE3_B_0", "TRIM")</f>
        <v>16.036687048360186</v>
      </c>
      <c r="AH16">
        <f>RTD("rtdtrading.rtdserver",, "VALE3_B_0", "SEMES")</f>
        <v>16.036687048360186</v>
      </c>
      <c r="AI16" t="str">
        <f>RTD("rtdtrading.rtdserver",, "VALE3_B_0", "VEN")</f>
        <v>-</v>
      </c>
      <c r="AJ16" t="str">
        <f>RTD("rtdtrading.rtdserver",, "VALE3_B_0", "VAL")</f>
        <v>31/12/9999</v>
      </c>
      <c r="AK16">
        <f>RTD("rtdtrading.rtdserver",, "VALE3_B_0", "CAB")</f>
        <v>0</v>
      </c>
      <c r="AL16" t="str">
        <f>RTD("rtdtrading.rtdserver",, "VALE3_B_0", "EST")</f>
        <v>Aberto</v>
      </c>
      <c r="AM16" t="str">
        <f>RTD("rtdtrading.rtdserver",, "VALE3_B_0", "BLACK")</f>
        <v>-</v>
      </c>
      <c r="AN16" t="str">
        <f>RTD("rtdtrading.rtdserver",, "VALE3_B_0", "IMPVT")</f>
        <v>-</v>
      </c>
      <c r="AO16" t="str">
        <f>RTD("rtdtrading.rtdserver",, "VALE3_B_0", "DELTA")</f>
        <v>-</v>
      </c>
      <c r="AP16" t="str">
        <f>RTD("rtdtrading.rtdserver",, "VALE3_B_0", "GAMA")</f>
        <v>-</v>
      </c>
      <c r="AQ16" t="str">
        <f>RTD("rtdtrading.rtdserver",, "VALE3_B_0", "THETA")</f>
        <v>-</v>
      </c>
      <c r="AR16" t="str">
        <f>RTD("rtdtrading.rtdserver",, "VALE3_B_0", "RHO")</f>
        <v>-</v>
      </c>
      <c r="AS16" t="str">
        <f>RTD("rtdtrading.rtdserver",, "VALE3_B_0", "VEGA")</f>
        <v>-</v>
      </c>
      <c r="AT16" t="str">
        <f>RTD("rtdtrading.rtdserver",, "VALE3_B_0", "VIA")</f>
        <v>-</v>
      </c>
      <c r="AU16" t="str">
        <f>RTD("rtdtrading.rtdserver",, "VALE3_B_0", "VIB")</f>
        <v>-</v>
      </c>
      <c r="AV16" t="str">
        <f>RTD("rtdtrading.rtdserver",, "VALE3_B_0", "DOBRAR")</f>
        <v>-</v>
      </c>
      <c r="AW16" t="str">
        <f>RTD("rtdtrading.rtdserver",, "VALE3_B_0", "VIVH")</f>
        <v>-</v>
      </c>
      <c r="AX16" t="str">
        <f>RTD("rtdtrading.rtdserver",, "VALE3_B_0", "VINT")</f>
        <v>-</v>
      </c>
      <c r="AY16" t="str">
        <f>RTD("rtdtrading.rtdserver",, "VALE3_B_0", "VEXT")</f>
        <v>-</v>
      </c>
      <c r="AZ16" t="str">
        <f>RTD("rtdtrading.rtdserver",, "VALE3_B_0", "67")</f>
        <v>83,15</v>
      </c>
    </row>
    <row r="17" spans="1:52" x14ac:dyDescent="0.35">
      <c r="A17" t="s">
        <v>88</v>
      </c>
      <c r="B17" t="str">
        <f>RTD("rtdtrading.rtdserver",, "MGLU3_B_0", "DAT")</f>
        <v>19/02/2026</v>
      </c>
      <c r="C17" t="str">
        <f>RTD("rtdtrading.rtdserver",, "MGLU3_B_0", "HOR")</f>
        <v>10:14:36</v>
      </c>
      <c r="D17">
        <f>RTD("rtdtrading.rtdserver",, "MGLU3_B_0", "ULT")</f>
        <v>10.41</v>
      </c>
      <c r="E17">
        <f>RTD("rtdtrading.rtdserver",, "MGLU3_B_0", "ABE")</f>
        <v>10.29</v>
      </c>
      <c r="F17">
        <f>RTD("rtdtrading.rtdserver",, "MGLU3_B_0", "MAX")</f>
        <v>10.42</v>
      </c>
      <c r="G17">
        <f>RTD("rtdtrading.rtdserver",, "MGLU3_B_0", "MIN")</f>
        <v>10.25</v>
      </c>
      <c r="H17">
        <f>RTD("rtdtrading.rtdserver",, "MGLU3_B_0", "FEC")</f>
        <v>10.280000000000001</v>
      </c>
      <c r="I17">
        <f>RTD("rtdtrading.rtdserver",, "MGLU3_B_0", "PEX")</f>
        <v>0</v>
      </c>
      <c r="J17">
        <f>RTD("rtdtrading.rtdserver",, "MGLU3_B_0", "VAR")</f>
        <v>1.2645914396887061</v>
      </c>
      <c r="K17">
        <f>RTD("rtdtrading.rtdserver",, "MGLU3_B_0", "VARPTS")</f>
        <v>0.12999999999999901</v>
      </c>
      <c r="L17">
        <f>RTD("rtdtrading.rtdserver",, "MGLU3_B_0", "MED")</f>
        <v>10.340550447468432</v>
      </c>
      <c r="M17" t="s">
        <v>89</v>
      </c>
      <c r="N17">
        <f>RTD("rtdtrading.rtdserver",, "MGLU3_B_0", "NEG")</f>
        <v>638</v>
      </c>
      <c r="O17">
        <f>RTD("rtdtrading.rtdserver",, "MGLU3_B_0", "QUL")</f>
        <v>100</v>
      </c>
      <c r="P17">
        <f>RTD("rtdtrading.rtdserver",, "MGLU3_B_0", "QTT")</f>
        <v>815700</v>
      </c>
      <c r="Q17">
        <f>RTD("rtdtrading.rtdserver",, "MGLU3_B_0", "VOL")</f>
        <v>8434787</v>
      </c>
      <c r="R17">
        <f>RTD("rtdtrading.rtdserver",, "MGLU3_B_0", "OCP")</f>
        <v>10.4</v>
      </c>
      <c r="S17">
        <f>RTD("rtdtrading.rtdserver",, "MGLU3_B_0", "OVD")</f>
        <v>10.41</v>
      </c>
      <c r="T17">
        <f>RTD("rtdtrading.rtdserver",, "MGLU3_B_0", "VOC")</f>
        <v>800</v>
      </c>
      <c r="U17">
        <f>RTD("rtdtrading.rtdserver",, "MGLU3_B_0", "VOV")</f>
        <v>28100</v>
      </c>
      <c r="V17">
        <f>RTD("rtdtrading.rtdserver",, "MGLU3_B_0", "AJU")</f>
        <v>0</v>
      </c>
      <c r="W17">
        <f>RTD("rtdtrading.rtdserver",, "MGLU3_B_0", "AJA")</f>
        <v>0</v>
      </c>
      <c r="X17">
        <f>RTD("rtdtrading.rtdserver",, "MGLU3_B_0", "PRT")</f>
        <v>0</v>
      </c>
      <c r="Y17">
        <f>RTD("rtdtrading.rtdserver",, "MGLU3_B_0", "QTE")</f>
        <v>0</v>
      </c>
      <c r="Z17">
        <f>RTD("rtdtrading.rtdserver",, "MGLU3_B_0", "VPJ")</f>
        <v>216389963.28845796</v>
      </c>
      <c r="AA17">
        <f>RTD("rtdtrading.rtdserver",, "MGLU3_B_0", "SEM")</f>
        <v>1.7595307917888534</v>
      </c>
      <c r="AB17">
        <f>RTD("rtdtrading.rtdserver",, "MGLU3_B_0", "MES")</f>
        <v>6.3329928498467734</v>
      </c>
      <c r="AC17">
        <f>RTD("rtdtrading.rtdserver",, "MGLU3_B_0", "3M")</f>
        <v>17.154529187345961</v>
      </c>
      <c r="AD17">
        <f>RTD("rtdtrading.rtdserver",, "MGLU3_B_0", "6M")</f>
        <v>63.630361998773942</v>
      </c>
      <c r="AE17">
        <f>RTD("rtdtrading.rtdserver",, "MGLU3_B_0", "12M")</f>
        <v>46.609393704668683</v>
      </c>
      <c r="AF17">
        <f>RTD("rtdtrading.rtdserver",, "MGLU3_B_0", "ANO")</f>
        <v>16.442953020134212</v>
      </c>
      <c r="AG17">
        <f>RTD("rtdtrading.rtdserver",, "MGLU3_B_0", "TRIM")</f>
        <v>16.442953020134212</v>
      </c>
      <c r="AH17">
        <f>RTD("rtdtrading.rtdserver",, "MGLU3_B_0", "SEMES")</f>
        <v>16.442953020134212</v>
      </c>
      <c r="AI17" t="str">
        <f>RTD("rtdtrading.rtdserver",, "MGLU3_B_0", "VEN")</f>
        <v>-</v>
      </c>
      <c r="AJ17" t="str">
        <f>RTD("rtdtrading.rtdserver",, "MGLU3_B_0", "VAL")</f>
        <v>31/12/9999</v>
      </c>
      <c r="AK17">
        <f>RTD("rtdtrading.rtdserver",, "MGLU3_B_0", "CAB")</f>
        <v>0</v>
      </c>
      <c r="AL17" t="str">
        <f>RTD("rtdtrading.rtdserver",, "MGLU3_B_0", "EST")</f>
        <v>Aberto</v>
      </c>
      <c r="AM17" t="str">
        <f>RTD("rtdtrading.rtdserver",, "MGLU3_B_0", "BLACK")</f>
        <v>-</v>
      </c>
      <c r="AN17" t="str">
        <f>RTD("rtdtrading.rtdserver",, "MGLU3_B_0", "IMPVT")</f>
        <v>-</v>
      </c>
      <c r="AO17" t="str">
        <f>RTD("rtdtrading.rtdserver",, "MGLU3_B_0", "DELTA")</f>
        <v>-</v>
      </c>
      <c r="AP17" t="str">
        <f>RTD("rtdtrading.rtdserver",, "MGLU3_B_0", "GAMA")</f>
        <v>-</v>
      </c>
      <c r="AQ17" t="str">
        <f>RTD("rtdtrading.rtdserver",, "MGLU3_B_0", "THETA")</f>
        <v>-</v>
      </c>
      <c r="AR17" t="str">
        <f>RTD("rtdtrading.rtdserver",, "MGLU3_B_0", "RHO")</f>
        <v>-</v>
      </c>
      <c r="AS17" t="str">
        <f>RTD("rtdtrading.rtdserver",, "MGLU3_B_0", "VEGA")</f>
        <v>-</v>
      </c>
      <c r="AT17" t="str">
        <f>RTD("rtdtrading.rtdserver",, "MGLU3_B_0", "VIA")</f>
        <v>-</v>
      </c>
      <c r="AU17" t="str">
        <f>RTD("rtdtrading.rtdserver",, "MGLU3_B_0", "VIB")</f>
        <v>-</v>
      </c>
      <c r="AV17" t="str">
        <f>RTD("rtdtrading.rtdserver",, "MGLU3_B_0", "DOBRAR")</f>
        <v>-</v>
      </c>
      <c r="AW17" t="str">
        <f>RTD("rtdtrading.rtdserver",, "MGLU3_B_0", "VIVH")</f>
        <v>-</v>
      </c>
      <c r="AX17" t="str">
        <f>RTD("rtdtrading.rtdserver",, "MGLU3_B_0", "VINT")</f>
        <v>-</v>
      </c>
      <c r="AY17" t="str">
        <f>RTD("rtdtrading.rtdserver",, "MGLU3_B_0", "VEXT")</f>
        <v>-</v>
      </c>
      <c r="AZ17" t="str">
        <f>RTD("rtdtrading.rtdserver",, "MGLU3_B_0", "67")</f>
        <v>10,34</v>
      </c>
    </row>
    <row r="18" spans="1:52" x14ac:dyDescent="0.35">
      <c r="A18" t="s">
        <v>90</v>
      </c>
      <c r="B18" t="str">
        <f>RTD("rtdtrading.rtdserver",, "ITUB4_B_0", "DAT")</f>
        <v>19/02/2026</v>
      </c>
      <c r="C18" t="str">
        <f>RTD("rtdtrading.rtdserver",, "ITUB4_B_0", "HOR")</f>
        <v>10:14:34</v>
      </c>
      <c r="D18">
        <f>RTD("rtdtrading.rtdserver",, "ITUB4_B_0", "ULT")</f>
        <v>48.12</v>
      </c>
      <c r="E18">
        <f>RTD("rtdtrading.rtdserver",, "ITUB4_B_0", "ABE")</f>
        <v>48.1</v>
      </c>
      <c r="F18">
        <f>RTD("rtdtrading.rtdserver",, "ITUB4_B_0", "MAX")</f>
        <v>48.23</v>
      </c>
      <c r="G18">
        <f>RTD("rtdtrading.rtdserver",, "ITUB4_B_0", "MIN")</f>
        <v>47.93</v>
      </c>
      <c r="H18">
        <f>RTD("rtdtrading.rtdserver",, "ITUB4_B_0", "FEC")</f>
        <v>47.99</v>
      </c>
      <c r="I18">
        <f>RTD("rtdtrading.rtdserver",, "ITUB4_B_0", "PEX")</f>
        <v>0</v>
      </c>
      <c r="J18">
        <f>RTD("rtdtrading.rtdserver",, "ITUB4_B_0", "VAR")</f>
        <v>0.27088976870180342</v>
      </c>
      <c r="K18">
        <f>RTD("rtdtrading.rtdserver",, "ITUB4_B_0", "VARPTS")</f>
        <v>0.12999999999999545</v>
      </c>
      <c r="L18">
        <f>RTD("rtdtrading.rtdserver",, "ITUB4_B_0", "MED")</f>
        <v>48.081585292344784</v>
      </c>
      <c r="M18" t="s">
        <v>91</v>
      </c>
      <c r="N18">
        <f>RTD("rtdtrading.rtdserver",, "ITUB4_B_0", "NEG")</f>
        <v>390</v>
      </c>
      <c r="O18">
        <f>RTD("rtdtrading.rtdserver",, "ITUB4_B_0", "QUL")</f>
        <v>200</v>
      </c>
      <c r="P18">
        <f>RTD("rtdtrading.rtdserver",, "ITUB4_B_0", "QTT")</f>
        <v>165900</v>
      </c>
      <c r="Q18">
        <f>RTD("rtdtrading.rtdserver",, "ITUB4_B_0", "VOL")</f>
        <v>7976735</v>
      </c>
      <c r="R18">
        <f>RTD("rtdtrading.rtdserver",, "ITUB4_B_0", "OCP")</f>
        <v>48.11</v>
      </c>
      <c r="S18">
        <f>RTD("rtdtrading.rtdserver",, "ITUB4_B_0", "OVD")</f>
        <v>48.120000000000005</v>
      </c>
      <c r="T18">
        <f>RTD("rtdtrading.rtdserver",, "ITUB4_B_0", "VOC")</f>
        <v>700</v>
      </c>
      <c r="U18">
        <f>RTD("rtdtrading.rtdserver",, "ITUB4_B_0", "VOV")</f>
        <v>2500</v>
      </c>
      <c r="V18">
        <f>RTD("rtdtrading.rtdserver",, "ITUB4_B_0", "AJU")</f>
        <v>0</v>
      </c>
      <c r="W18">
        <f>RTD("rtdtrading.rtdserver",, "ITUB4_B_0", "AJA")</f>
        <v>0</v>
      </c>
      <c r="X18">
        <f>RTD("rtdtrading.rtdserver",, "ITUB4_B_0", "PRT")</f>
        <v>0</v>
      </c>
      <c r="Y18">
        <f>RTD("rtdtrading.rtdserver",, "ITUB4_B_0", "QTE")</f>
        <v>0</v>
      </c>
      <c r="Z18">
        <f>RTD("rtdtrading.rtdserver",, "ITUB4_B_0", "VPJ")</f>
        <v>205107164.64701599</v>
      </c>
      <c r="AA18">
        <f>RTD("rtdtrading.rtdserver",, "ITUB4_B_0", "SEM")</f>
        <v>0.73267741260203956</v>
      </c>
      <c r="AB18">
        <f>RTD("rtdtrading.rtdserver",, "ITUB4_B_0", "MES")</f>
        <v>5.7942815684463786</v>
      </c>
      <c r="AC18">
        <f>RTD("rtdtrading.rtdserver",, "ITUB4_B_0", "3M")</f>
        <v>31.444523964314381</v>
      </c>
      <c r="AD18">
        <f>RTD("rtdtrading.rtdserver",, "ITUB4_B_0", "6M")</f>
        <v>44.346720101750606</v>
      </c>
      <c r="AE18">
        <f>RTD("rtdtrading.rtdserver",, "ITUB4_B_0", "12M")</f>
        <v>77.021752485919563</v>
      </c>
      <c r="AF18">
        <f>RTD("rtdtrading.rtdserver",, "ITUB4_B_0", "ANO")</f>
        <v>22.7497787085764</v>
      </c>
      <c r="AG18">
        <f>RTD("rtdtrading.rtdserver",, "ITUB4_B_0", "TRIM")</f>
        <v>22.7497787085764</v>
      </c>
      <c r="AH18">
        <f>RTD("rtdtrading.rtdserver",, "ITUB4_B_0", "SEMES")</f>
        <v>22.7497787085764</v>
      </c>
      <c r="AI18" t="str">
        <f>RTD("rtdtrading.rtdserver",, "ITUB4_B_0", "VEN")</f>
        <v>-</v>
      </c>
      <c r="AJ18" t="str">
        <f>RTD("rtdtrading.rtdserver",, "ITUB4_B_0", "VAL")</f>
        <v>31/12/9999</v>
      </c>
      <c r="AK18">
        <f>RTD("rtdtrading.rtdserver",, "ITUB4_B_0", "CAB")</f>
        <v>0</v>
      </c>
      <c r="AL18" t="str">
        <f>RTD("rtdtrading.rtdserver",, "ITUB4_B_0", "EST")</f>
        <v>Aberto</v>
      </c>
      <c r="AM18" t="str">
        <f>RTD("rtdtrading.rtdserver",, "ITUB4_B_0", "BLACK")</f>
        <v>-</v>
      </c>
      <c r="AN18" t="str">
        <f>RTD("rtdtrading.rtdserver",, "ITUB4_B_0", "IMPVT")</f>
        <v>-</v>
      </c>
      <c r="AO18" t="str">
        <f>RTD("rtdtrading.rtdserver",, "ITUB4_B_0", "DELTA")</f>
        <v>-</v>
      </c>
      <c r="AP18" t="str">
        <f>RTD("rtdtrading.rtdserver",, "ITUB4_B_0", "GAMA")</f>
        <v>-</v>
      </c>
      <c r="AQ18" t="str">
        <f>RTD("rtdtrading.rtdserver",, "ITUB4_B_0", "THETA")</f>
        <v>-</v>
      </c>
      <c r="AR18" t="str">
        <f>RTD("rtdtrading.rtdserver",, "ITUB4_B_0", "RHO")</f>
        <v>-</v>
      </c>
      <c r="AS18" t="str">
        <f>RTD("rtdtrading.rtdserver",, "ITUB4_B_0", "VEGA")</f>
        <v>-</v>
      </c>
      <c r="AT18" t="str">
        <f>RTD("rtdtrading.rtdserver",, "ITUB4_B_0", "VIA")</f>
        <v>-</v>
      </c>
      <c r="AU18" t="str">
        <f>RTD("rtdtrading.rtdserver",, "ITUB4_B_0", "VIB")</f>
        <v>-</v>
      </c>
      <c r="AV18" t="str">
        <f>RTD("rtdtrading.rtdserver",, "ITUB4_B_0", "DOBRAR")</f>
        <v>-</v>
      </c>
      <c r="AW18" t="str">
        <f>RTD("rtdtrading.rtdserver",, "ITUB4_B_0", "VIVH")</f>
        <v>-</v>
      </c>
      <c r="AX18" t="str">
        <f>RTD("rtdtrading.rtdserver",, "ITUB4_B_0", "VINT")</f>
        <v>-</v>
      </c>
      <c r="AY18" t="str">
        <f>RTD("rtdtrading.rtdserver",, "ITUB4_B_0", "VEXT")</f>
        <v>-</v>
      </c>
      <c r="AZ18" t="str">
        <f>RTD("rtdtrading.rtdserver",, "ITUB4_B_0", "67")</f>
        <v>48,08</v>
      </c>
    </row>
    <row r="19" spans="1:52" x14ac:dyDescent="0.35">
      <c r="A19" t="s">
        <v>92</v>
      </c>
      <c r="B19" t="str">
        <f>RTD("rtdtrading.rtdserver",, "SUZB3_B_0", "DAT")</f>
        <v>19/02/2026</v>
      </c>
      <c r="C19" t="str">
        <f>RTD("rtdtrading.rtdserver",, "SUZB3_B_0", "HOR")</f>
        <v>10:14:32</v>
      </c>
      <c r="D19">
        <f>RTD("rtdtrading.rtdserver",, "SUZB3_B_0", "ULT")</f>
        <v>57.56</v>
      </c>
      <c r="E19">
        <f>RTD("rtdtrading.rtdserver",, "SUZB3_B_0", "ABE")</f>
        <v>57.14</v>
      </c>
      <c r="F19">
        <f>RTD("rtdtrading.rtdserver",, "SUZB3_B_0", "MAX")</f>
        <v>57.56</v>
      </c>
      <c r="G19">
        <f>RTD("rtdtrading.rtdserver",, "SUZB3_B_0", "MIN")</f>
        <v>56.89</v>
      </c>
      <c r="H19">
        <f>RTD("rtdtrading.rtdserver",, "SUZB3_B_0", "FEC")</f>
        <v>57.2</v>
      </c>
      <c r="I19">
        <f>RTD("rtdtrading.rtdserver",, "SUZB3_B_0", "PEX")</f>
        <v>0</v>
      </c>
      <c r="J19">
        <f>RTD("rtdtrading.rtdserver",, "SUZB3_B_0", "VAR")</f>
        <v>0.62937062937062838</v>
      </c>
      <c r="K19">
        <f>RTD("rtdtrading.rtdserver",, "SUZB3_B_0", "VARPTS")</f>
        <v>0.35999999999999943</v>
      </c>
      <c r="L19">
        <f>RTD("rtdtrading.rtdserver",, "SUZB3_B_0", "MED")</f>
        <v>57.199314227226203</v>
      </c>
      <c r="M19" t="s">
        <v>93</v>
      </c>
      <c r="N19">
        <f>RTD("rtdtrading.rtdserver",, "SUZB3_B_0", "NEG")</f>
        <v>503</v>
      </c>
      <c r="O19">
        <f>RTD("rtdtrading.rtdserver",, "SUZB3_B_0", "QUL")</f>
        <v>100</v>
      </c>
      <c r="P19">
        <f>RTD("rtdtrading.rtdserver",, "SUZB3_B_0", "QTT")</f>
        <v>97700</v>
      </c>
      <c r="Q19">
        <f>RTD("rtdtrading.rtdserver",, "SUZB3_B_0", "VOL")</f>
        <v>5588373</v>
      </c>
      <c r="R19">
        <f>RTD("rtdtrading.rtdserver",, "SUZB3_B_0", "OCP")</f>
        <v>57.53</v>
      </c>
      <c r="S19">
        <f>RTD("rtdtrading.rtdserver",, "SUZB3_B_0", "OVD")</f>
        <v>57.56</v>
      </c>
      <c r="T19">
        <f>RTD("rtdtrading.rtdserver",, "SUZB3_B_0", "VOC")</f>
        <v>200</v>
      </c>
      <c r="U19">
        <f>RTD("rtdtrading.rtdserver",, "SUZB3_B_0", "VOV")</f>
        <v>200</v>
      </c>
      <c r="V19">
        <f>RTD("rtdtrading.rtdserver",, "SUZB3_B_0", "AJU")</f>
        <v>0</v>
      </c>
      <c r="W19">
        <f>RTD("rtdtrading.rtdserver",, "SUZB3_B_0", "AJA")</f>
        <v>0</v>
      </c>
      <c r="X19">
        <f>RTD("rtdtrading.rtdserver",, "SUZB3_B_0", "PRT")</f>
        <v>0</v>
      </c>
      <c r="Y19">
        <f>RTD("rtdtrading.rtdserver",, "SUZB3_B_0", "QTE")</f>
        <v>0</v>
      </c>
      <c r="Z19">
        <f>RTD("rtdtrading.rtdserver",, "SUZB3_B_0", "VPJ")</f>
        <v>144024375.29745355</v>
      </c>
      <c r="AA19">
        <f>RTD("rtdtrading.rtdserver",, "SUZB3_B_0", "SEM")</f>
        <v>-1.3369900582790557</v>
      </c>
      <c r="AB19">
        <f>RTD("rtdtrading.rtdserver",, "SUZB3_B_0", "MES")</f>
        <v>16.683559699979718</v>
      </c>
      <c r="AC19">
        <f>RTD("rtdtrading.rtdserver",, "SUZB3_B_0", "3M")</f>
        <v>21.678469506394681</v>
      </c>
      <c r="AD19">
        <f>RTD("rtdtrading.rtdserver",, "SUZB3_B_0", "6M")</f>
        <v>12.035004126376107</v>
      </c>
      <c r="AE19">
        <f>RTD("rtdtrading.rtdserver",, "SUZB3_B_0", "12M")</f>
        <v>1.9188579988419927</v>
      </c>
      <c r="AF19">
        <f>RTD("rtdtrading.rtdserver",, "SUZB3_B_0", "ANO")</f>
        <v>11.875607385811465</v>
      </c>
      <c r="AG19">
        <f>RTD("rtdtrading.rtdserver",, "SUZB3_B_0", "TRIM")</f>
        <v>11.875607385811465</v>
      </c>
      <c r="AH19">
        <f>RTD("rtdtrading.rtdserver",, "SUZB3_B_0", "SEMES")</f>
        <v>11.875607385811465</v>
      </c>
      <c r="AI19" t="str">
        <f>RTD("rtdtrading.rtdserver",, "SUZB3_B_0", "VEN")</f>
        <v>-</v>
      </c>
      <c r="AJ19" t="str">
        <f>RTD("rtdtrading.rtdserver",, "SUZB3_B_0", "VAL")</f>
        <v>31/12/9999</v>
      </c>
      <c r="AK19">
        <f>RTD("rtdtrading.rtdserver",, "SUZB3_B_0", "CAB")</f>
        <v>0</v>
      </c>
      <c r="AL19" t="str">
        <f>RTD("rtdtrading.rtdserver",, "SUZB3_B_0", "EST")</f>
        <v>Aberto</v>
      </c>
      <c r="AM19" t="str">
        <f>RTD("rtdtrading.rtdserver",, "SUZB3_B_0", "BLACK")</f>
        <v>-</v>
      </c>
      <c r="AN19" t="str">
        <f>RTD("rtdtrading.rtdserver",, "SUZB3_B_0", "IMPVT")</f>
        <v>-</v>
      </c>
      <c r="AO19" t="str">
        <f>RTD("rtdtrading.rtdserver",, "SUZB3_B_0", "DELTA")</f>
        <v>-</v>
      </c>
      <c r="AP19" t="str">
        <f>RTD("rtdtrading.rtdserver",, "SUZB3_B_0", "GAMA")</f>
        <v>-</v>
      </c>
      <c r="AQ19" t="str">
        <f>RTD("rtdtrading.rtdserver",, "SUZB3_B_0", "THETA")</f>
        <v>-</v>
      </c>
      <c r="AR19" t="str">
        <f>RTD("rtdtrading.rtdserver",, "SUZB3_B_0", "RHO")</f>
        <v>-</v>
      </c>
      <c r="AS19" t="str">
        <f>RTD("rtdtrading.rtdserver",, "SUZB3_B_0", "VEGA")</f>
        <v>-</v>
      </c>
      <c r="AT19" t="str">
        <f>RTD("rtdtrading.rtdserver",, "SUZB3_B_0", "VIA")</f>
        <v>-</v>
      </c>
      <c r="AU19" t="str">
        <f>RTD("rtdtrading.rtdserver",, "SUZB3_B_0", "VIB")</f>
        <v>-</v>
      </c>
      <c r="AV19" t="str">
        <f>RTD("rtdtrading.rtdserver",, "SUZB3_B_0", "DOBRAR")</f>
        <v>-</v>
      </c>
      <c r="AW19" t="str">
        <f>RTD("rtdtrading.rtdserver",, "SUZB3_B_0", "VIVH")</f>
        <v>-</v>
      </c>
      <c r="AX19" t="str">
        <f>RTD("rtdtrading.rtdserver",, "SUZB3_B_0", "VINT")</f>
        <v>-</v>
      </c>
      <c r="AY19" t="str">
        <f>RTD("rtdtrading.rtdserver",, "SUZB3_B_0", "VEXT")</f>
        <v>-</v>
      </c>
      <c r="AZ19" t="str">
        <f>RTD("rtdtrading.rtdserver",, "SUZB3_B_0", "67")</f>
        <v>57,20</v>
      </c>
    </row>
    <row r="20" spans="1:52" x14ac:dyDescent="0.35">
      <c r="A20" t="s">
        <v>94</v>
      </c>
      <c r="B20" t="str">
        <f>RTD("rtdtrading.rtdserver",, "CMIG4_B_0", "DAT")</f>
        <v>19/02/2026</v>
      </c>
      <c r="C20" t="str">
        <f>RTD("rtdtrading.rtdserver",, "CMIG4_B_0", "HOR")</f>
        <v>10:14:27</v>
      </c>
      <c r="D20">
        <f>RTD("rtdtrading.rtdserver",, "CMIG4_B_0", "ULT")</f>
        <v>11.66</v>
      </c>
      <c r="E20">
        <f>RTD("rtdtrading.rtdserver",, "CMIG4_B_0", "ABE")</f>
        <v>11.69</v>
      </c>
      <c r="F20">
        <f>RTD("rtdtrading.rtdserver",, "CMIG4_B_0", "MAX")</f>
        <v>11.73</v>
      </c>
      <c r="G20">
        <f>RTD("rtdtrading.rtdserver",, "CMIG4_B_0", "MIN")</f>
        <v>11.63</v>
      </c>
      <c r="H20">
        <f>RTD("rtdtrading.rtdserver",, "CMIG4_B_0", "FEC")</f>
        <v>11.66</v>
      </c>
      <c r="I20">
        <f>RTD("rtdtrading.rtdserver",, "CMIG4_B_0", "PEX")</f>
        <v>0</v>
      </c>
      <c r="J20">
        <f>RTD("rtdtrading.rtdserver",, "CMIG4_B_0", "VAR")</f>
        <v>0</v>
      </c>
      <c r="K20">
        <f>RTD("rtdtrading.rtdserver",, "CMIG4_B_0", "VARPTS")</f>
        <v>0</v>
      </c>
      <c r="L20">
        <f>RTD("rtdtrading.rtdserver",, "CMIG4_B_0", "MED")</f>
        <v>11.666369565217391</v>
      </c>
      <c r="M20" t="s">
        <v>95</v>
      </c>
      <c r="N20">
        <f>RTD("rtdtrading.rtdserver",, "CMIG4_B_0", "NEG")</f>
        <v>254</v>
      </c>
      <c r="O20">
        <f>RTD("rtdtrading.rtdserver",, "CMIG4_B_0", "QUL")</f>
        <v>1000</v>
      </c>
      <c r="P20">
        <f>RTD("rtdtrading.rtdserver",, "CMIG4_B_0", "QTT")</f>
        <v>138000</v>
      </c>
      <c r="Q20">
        <f>RTD("rtdtrading.rtdserver",, "CMIG4_B_0", "VOL")</f>
        <v>1609959</v>
      </c>
      <c r="R20">
        <f>RTD("rtdtrading.rtdserver",, "CMIG4_B_0", "OCP")</f>
        <v>11.65</v>
      </c>
      <c r="S20">
        <f>RTD("rtdtrading.rtdserver",, "CMIG4_B_0", "OVD")</f>
        <v>11.66</v>
      </c>
      <c r="T20">
        <f>RTD("rtdtrading.rtdserver",, "CMIG4_B_0", "VOC")</f>
        <v>15800</v>
      </c>
      <c r="U20">
        <f>RTD("rtdtrading.rtdserver",, "CMIG4_B_0", "VOV")</f>
        <v>2800</v>
      </c>
      <c r="V20">
        <f>RTD("rtdtrading.rtdserver",, "CMIG4_B_0", "AJU")</f>
        <v>0</v>
      </c>
      <c r="W20">
        <f>RTD("rtdtrading.rtdserver",, "CMIG4_B_0", "AJA")</f>
        <v>0</v>
      </c>
      <c r="X20">
        <f>RTD("rtdtrading.rtdserver",, "CMIG4_B_0", "PRT")</f>
        <v>0</v>
      </c>
      <c r="Y20">
        <f>RTD("rtdtrading.rtdserver",, "CMIG4_B_0", "QTE")</f>
        <v>0</v>
      </c>
      <c r="Z20">
        <f>RTD("rtdtrading.rtdserver",, "CMIG4_B_0", "VPJ")</f>
        <v>41731386.884648874</v>
      </c>
      <c r="AA20">
        <f>RTD("rtdtrading.rtdserver",, "CMIG4_B_0", "SEM")</f>
        <v>-0.85034013605441872</v>
      </c>
      <c r="AB20">
        <f>RTD("rtdtrading.rtdserver",, "CMIG4_B_0", "MES")</f>
        <v>1.5679442508710777</v>
      </c>
      <c r="AC20">
        <f>RTD("rtdtrading.rtdserver",, "CMIG4_B_0", "3M")</f>
        <v>8.3109620725850686</v>
      </c>
      <c r="AD20">
        <f>RTD("rtdtrading.rtdserver",, "CMIG4_B_0", "6M")</f>
        <v>11.46907832471344</v>
      </c>
      <c r="AE20">
        <f>RTD("rtdtrading.rtdserver",, "CMIG4_B_0", "12M")</f>
        <v>17.827765314577888</v>
      </c>
      <c r="AF20">
        <f>RTD("rtdtrading.rtdserver",, "CMIG4_B_0", "ANO")</f>
        <v>4.1071428571428488</v>
      </c>
      <c r="AG20">
        <f>RTD("rtdtrading.rtdserver",, "CMIG4_B_0", "TRIM")</f>
        <v>4.1071428571428488</v>
      </c>
      <c r="AH20">
        <f>RTD("rtdtrading.rtdserver",, "CMIG4_B_0", "SEMES")</f>
        <v>4.1071428571428488</v>
      </c>
      <c r="AI20" t="str">
        <f>RTD("rtdtrading.rtdserver",, "CMIG4_B_0", "VEN")</f>
        <v>-</v>
      </c>
      <c r="AJ20" t="str">
        <f>RTD("rtdtrading.rtdserver",, "CMIG4_B_0", "VAL")</f>
        <v>31/12/9999</v>
      </c>
      <c r="AK20">
        <f>RTD("rtdtrading.rtdserver",, "CMIG4_B_0", "CAB")</f>
        <v>0</v>
      </c>
      <c r="AL20" t="str">
        <f>RTD("rtdtrading.rtdserver",, "CMIG4_B_0", "EST")</f>
        <v>Aberto</v>
      </c>
      <c r="AM20" t="str">
        <f>RTD("rtdtrading.rtdserver",, "CMIG4_B_0", "BLACK")</f>
        <v>-</v>
      </c>
      <c r="AN20" t="str">
        <f>RTD("rtdtrading.rtdserver",, "CMIG4_B_0", "IMPVT")</f>
        <v>-</v>
      </c>
      <c r="AO20" t="str">
        <f>RTD("rtdtrading.rtdserver",, "CMIG4_B_0", "DELTA")</f>
        <v>-</v>
      </c>
      <c r="AP20" t="str">
        <f>RTD("rtdtrading.rtdserver",, "CMIG4_B_0", "GAMA")</f>
        <v>-</v>
      </c>
      <c r="AQ20" t="str">
        <f>RTD("rtdtrading.rtdserver",, "CMIG4_B_0", "THETA")</f>
        <v>-</v>
      </c>
      <c r="AR20" t="str">
        <f>RTD("rtdtrading.rtdserver",, "CMIG4_B_0", "RHO")</f>
        <v>-</v>
      </c>
      <c r="AS20" t="str">
        <f>RTD("rtdtrading.rtdserver",, "CMIG4_B_0", "VEGA")</f>
        <v>-</v>
      </c>
      <c r="AT20" t="str">
        <f>RTD("rtdtrading.rtdserver",, "CMIG4_B_0", "VIA")</f>
        <v>-</v>
      </c>
      <c r="AU20" t="str">
        <f>RTD("rtdtrading.rtdserver",, "CMIG4_B_0", "VIB")</f>
        <v>-</v>
      </c>
      <c r="AV20" t="str">
        <f>RTD("rtdtrading.rtdserver",, "CMIG4_B_0", "DOBRAR")</f>
        <v>-</v>
      </c>
      <c r="AW20" t="str">
        <f>RTD("rtdtrading.rtdserver",, "CMIG4_B_0", "VIVH")</f>
        <v>-</v>
      </c>
      <c r="AX20" t="str">
        <f>RTD("rtdtrading.rtdserver",, "CMIG4_B_0", "VINT")</f>
        <v>-</v>
      </c>
      <c r="AY20" t="str">
        <f>RTD("rtdtrading.rtdserver",, "CMIG4_B_0", "VEXT")</f>
        <v>-</v>
      </c>
      <c r="AZ20" t="str">
        <f>RTD("rtdtrading.rtdserver",, "CMIG4_B_0", "67")</f>
        <v>11,67</v>
      </c>
    </row>
    <row r="21" spans="1:52" x14ac:dyDescent="0.35">
      <c r="A21" t="s">
        <v>96</v>
      </c>
      <c r="B21" t="str">
        <f>RTD("rtdtrading.rtdserver",, "BRFS3_B_0", "DAT")</f>
        <v>30/12/1899</v>
      </c>
      <c r="C21" t="str">
        <f>RTD("rtdtrading.rtdserver",, "BRFS3_B_0", "HOR")</f>
        <v>00:00:00</v>
      </c>
      <c r="D21">
        <f>RTD("rtdtrading.rtdserver",, "BRFS3_B_0", "ULT")</f>
        <v>0</v>
      </c>
      <c r="E21">
        <f>RTD("rtdtrading.rtdserver",, "BRFS3_B_0", "ABE")</f>
        <v>0</v>
      </c>
      <c r="F21">
        <f>RTD("rtdtrading.rtdserver",, "BRFS3_B_0", "MAX")</f>
        <v>0</v>
      </c>
      <c r="G21">
        <f>RTD("rtdtrading.rtdserver",, "BRFS3_B_0", "MIN")</f>
        <v>0</v>
      </c>
      <c r="H21">
        <f>RTD("rtdtrading.rtdserver",, "BRFS3_B_0", "FEC")</f>
        <v>0</v>
      </c>
      <c r="I21">
        <f>RTD("rtdtrading.rtdserver",, "BRFS3_B_0", "PEX")</f>
        <v>0</v>
      </c>
      <c r="J21">
        <f>RTD("rtdtrading.rtdserver",, "BRFS3_B_0", "VAR")</f>
        <v>0</v>
      </c>
      <c r="K21">
        <f>RTD("rtdtrading.rtdserver",, "BRFS3_B_0", "VARPTS")</f>
        <v>0</v>
      </c>
      <c r="L21">
        <f>RTD("rtdtrading.rtdserver",, "BRFS3_B_0", "MED")</f>
        <v>0</v>
      </c>
      <c r="M21" t="s">
        <v>97</v>
      </c>
      <c r="N21">
        <f>RTD("rtdtrading.rtdserver",, "BRFS3_B_0", "NEG")</f>
        <v>0</v>
      </c>
      <c r="O21">
        <f>RTD("rtdtrading.rtdserver",, "BRFS3_B_0", "QUL")</f>
        <v>0</v>
      </c>
      <c r="P21">
        <f>RTD("rtdtrading.rtdserver",, "BRFS3_B_0", "QTT")</f>
        <v>0</v>
      </c>
      <c r="Q21">
        <f>RTD("rtdtrading.rtdserver",, "BRFS3_B_0", "VOL")</f>
        <v>0</v>
      </c>
      <c r="R21">
        <f>RTD("rtdtrading.rtdserver",, "BRFS3_B_0", "OCP")</f>
        <v>0</v>
      </c>
      <c r="S21">
        <f>RTD("rtdtrading.rtdserver",, "BRFS3_B_0", "OVD")</f>
        <v>0</v>
      </c>
      <c r="T21">
        <f>RTD("rtdtrading.rtdserver",, "BRFS3_B_0", "VOC")</f>
        <v>0</v>
      </c>
      <c r="U21">
        <f>RTD("rtdtrading.rtdserver",, "BRFS3_B_0", "VOV")</f>
        <v>0</v>
      </c>
      <c r="V21">
        <f>RTD("rtdtrading.rtdserver",, "BRFS3_B_0", "AJU")</f>
        <v>0</v>
      </c>
      <c r="W21">
        <f>RTD("rtdtrading.rtdserver",, "BRFS3_B_0", "AJA")</f>
        <v>0</v>
      </c>
      <c r="X21">
        <f>RTD("rtdtrading.rtdserver",, "BRFS3_B_0", "PRT")</f>
        <v>0</v>
      </c>
      <c r="Y21">
        <f>RTD("rtdtrading.rtdserver",, "BRFS3_B_0", "QTE")</f>
        <v>0</v>
      </c>
      <c r="Z21">
        <f>RTD("rtdtrading.rtdserver",, "BRFS3_B_0", "VPJ")</f>
        <v>0</v>
      </c>
      <c r="AA21">
        <f>RTD("rtdtrading.rtdserver",, "BRFS3_B_0", "SEM")</f>
        <v>0</v>
      </c>
      <c r="AB21">
        <f>RTD("rtdtrading.rtdserver",, "BRFS3_B_0", "MES")</f>
        <v>0</v>
      </c>
      <c r="AC21">
        <f>RTD("rtdtrading.rtdserver",, "BRFS3_B_0", "3M")</f>
        <v>0</v>
      </c>
      <c r="AD21">
        <f>RTD("rtdtrading.rtdserver",, "BRFS3_B_0", "6M")</f>
        <v>0</v>
      </c>
      <c r="AE21">
        <f>RTD("rtdtrading.rtdserver",, "BRFS3_B_0", "12M")</f>
        <v>0</v>
      </c>
      <c r="AF21">
        <f>RTD("rtdtrading.rtdserver",, "BRFS3_B_0", "ANO")</f>
        <v>0</v>
      </c>
      <c r="AG21">
        <f>RTD("rtdtrading.rtdserver",, "BRFS3_B_0", "TRIM")</f>
        <v>0</v>
      </c>
      <c r="AH21">
        <f>RTD("rtdtrading.rtdserver",, "BRFS3_B_0", "SEMES")</f>
        <v>0</v>
      </c>
      <c r="AI21" t="str">
        <f>RTD("rtdtrading.rtdserver",, "BRFS3_B_0", "VEN")</f>
        <v>-</v>
      </c>
      <c r="AJ21" t="str">
        <f>RTD("rtdtrading.rtdserver",, "BRFS3_B_0", "VAL")</f>
        <v>31/12/9999</v>
      </c>
      <c r="AK21">
        <f>RTD("rtdtrading.rtdserver",, "BRFS3_B_0", "CAB")</f>
        <v>0</v>
      </c>
      <c r="AL21" t="str">
        <f>RTD("rtdtrading.rtdserver",, "BRFS3_B_0", "EST")</f>
        <v>NONE</v>
      </c>
      <c r="AM21" t="str">
        <f>RTD("rtdtrading.rtdserver",, "BRFS3_B_0", "BLACK")</f>
        <v>-</v>
      </c>
      <c r="AN21" t="str">
        <f>RTD("rtdtrading.rtdserver",, "BRFS3_B_0", "IMPVT")</f>
        <v>-</v>
      </c>
      <c r="AO21" t="str">
        <f>RTD("rtdtrading.rtdserver",, "BRFS3_B_0", "DELTA")</f>
        <v>-</v>
      </c>
      <c r="AP21" t="str">
        <f>RTD("rtdtrading.rtdserver",, "BRFS3_B_0", "GAMA")</f>
        <v>-</v>
      </c>
      <c r="AQ21" t="str">
        <f>RTD("rtdtrading.rtdserver",, "BRFS3_B_0", "THETA")</f>
        <v>-</v>
      </c>
      <c r="AR21" t="str">
        <f>RTD("rtdtrading.rtdserver",, "BRFS3_B_0", "RHO")</f>
        <v>-</v>
      </c>
      <c r="AS21" t="str">
        <f>RTD("rtdtrading.rtdserver",, "BRFS3_B_0", "VEGA")</f>
        <v>-</v>
      </c>
      <c r="AT21" t="str">
        <f>RTD("rtdtrading.rtdserver",, "BRFS3_B_0", "VIA")</f>
        <v>-</v>
      </c>
      <c r="AU21" t="str">
        <f>RTD("rtdtrading.rtdserver",, "BRFS3_B_0", "VIB")</f>
        <v>-</v>
      </c>
      <c r="AV21" t="str">
        <f>RTD("rtdtrading.rtdserver",, "BRFS3_B_0", "DOBRAR")</f>
        <v>-</v>
      </c>
      <c r="AW21" t="str">
        <f>RTD("rtdtrading.rtdserver",, "BRFS3_B_0", "VIVH")</f>
        <v>-</v>
      </c>
      <c r="AX21" t="str">
        <f>RTD("rtdtrading.rtdserver",, "BRFS3_B_0", "VINT")</f>
        <v>-</v>
      </c>
      <c r="AY21" t="str">
        <f>RTD("rtdtrading.rtdserver",, "BRFS3_B_0", "VEXT")</f>
        <v>-</v>
      </c>
      <c r="AZ21" t="str">
        <f>RTD("rtdtrading.rtdserver",, "BRFS3_B_0", "67")</f>
        <v>-</v>
      </c>
    </row>
    <row r="22" spans="1:52" x14ac:dyDescent="0.35">
      <c r="A22" t="s">
        <v>98</v>
      </c>
      <c r="B22" t="str">
        <f>RTD("rtdtrading.rtdserver",, "PETR4_B_0", "DAT")</f>
        <v>19/02/2026</v>
      </c>
      <c r="C22" t="str">
        <f>RTD("rtdtrading.rtdserver",, "PETR4_B_0", "HOR")</f>
        <v>10:14:30</v>
      </c>
      <c r="D22">
        <f>RTD("rtdtrading.rtdserver",, "PETR4_B_0", "ULT")</f>
        <v>37.590000000000003</v>
      </c>
      <c r="E22">
        <f>RTD("rtdtrading.rtdserver",, "PETR4_B_0", "ABE")</f>
        <v>37.5</v>
      </c>
      <c r="F22">
        <f>RTD("rtdtrading.rtdserver",, "PETR4_B_0", "MAX")</f>
        <v>37.630000000000003</v>
      </c>
      <c r="G22">
        <f>RTD("rtdtrading.rtdserver",, "PETR4_B_0", "MIN")</f>
        <v>37.44</v>
      </c>
      <c r="H22">
        <f>RTD("rtdtrading.rtdserver",, "PETR4_B_0", "FEC")</f>
        <v>37.190000000000005</v>
      </c>
      <c r="I22">
        <f>RTD("rtdtrading.rtdserver",, "PETR4_B_0", "PEX")</f>
        <v>0</v>
      </c>
      <c r="J22">
        <f>RTD("rtdtrading.rtdserver",, "PETR4_B_0", "VAR")</f>
        <v>1.0755579456843198</v>
      </c>
      <c r="K22">
        <f>RTD("rtdtrading.rtdserver",, "PETR4_B_0", "VARPTS")</f>
        <v>0.39999999999999858</v>
      </c>
      <c r="L22">
        <f>RTD("rtdtrading.rtdserver",, "PETR4_B_0", "MED")</f>
        <v>37.543829421286929</v>
      </c>
      <c r="M22" t="s">
        <v>99</v>
      </c>
      <c r="N22">
        <f>RTD("rtdtrading.rtdserver",, "PETR4_B_0", "NEG")</f>
        <v>1052</v>
      </c>
      <c r="O22">
        <f>RTD("rtdtrading.rtdserver",, "PETR4_B_0", "QUL")</f>
        <v>1100</v>
      </c>
      <c r="P22">
        <f>RTD("rtdtrading.rtdserver",, "PETR4_B_0", "QTT")</f>
        <v>988400</v>
      </c>
      <c r="Q22">
        <f>RTD("rtdtrading.rtdserver",, "PETR4_B_0", "VOL")</f>
        <v>37108321</v>
      </c>
      <c r="R22">
        <f>RTD("rtdtrading.rtdserver",, "PETR4_B_0", "OCP")</f>
        <v>37.58</v>
      </c>
      <c r="S22">
        <f>RTD("rtdtrading.rtdserver",, "PETR4_B_0", "OVD")</f>
        <v>37.6</v>
      </c>
      <c r="T22">
        <f>RTD("rtdtrading.rtdserver",, "PETR4_B_0", "VOC")</f>
        <v>1300</v>
      </c>
      <c r="U22">
        <f>RTD("rtdtrading.rtdserver",, "PETR4_B_0", "VOV")</f>
        <v>8500</v>
      </c>
      <c r="V22">
        <f>RTD("rtdtrading.rtdserver",, "PETR4_B_0", "AJU")</f>
        <v>0</v>
      </c>
      <c r="W22">
        <f>RTD("rtdtrading.rtdserver",, "PETR4_B_0", "AJA")</f>
        <v>0</v>
      </c>
      <c r="X22">
        <f>RTD("rtdtrading.rtdserver",, "PETR4_B_0", "PRT")</f>
        <v>0</v>
      </c>
      <c r="Y22">
        <f>RTD("rtdtrading.rtdserver",, "PETR4_B_0", "QTE")</f>
        <v>0</v>
      </c>
      <c r="Z22">
        <f>RTD("rtdtrading.rtdserver",, "PETR4_B_0", "VPJ")</f>
        <v>958559667.2916429</v>
      </c>
      <c r="AA22">
        <f>RTD("rtdtrading.rtdserver",, "PETR4_B_0", "SEM")</f>
        <v>1.897533206831127</v>
      </c>
      <c r="AB22">
        <f>RTD("rtdtrading.rtdserver",, "PETR4_B_0", "MES")</f>
        <v>-0.45021186440678412</v>
      </c>
      <c r="AC22">
        <f>RTD("rtdtrading.rtdserver",, "PETR4_B_0", "3M")</f>
        <v>17.737338303003728</v>
      </c>
      <c r="AD22">
        <f>RTD("rtdtrading.rtdserver",, "PETR4_B_0", "6M")</f>
        <v>30.456511025813661</v>
      </c>
      <c r="AE22">
        <f>RTD("rtdtrading.rtdserver",, "PETR4_B_0", "12M")</f>
        <v>8.1203907175811398</v>
      </c>
      <c r="AF22">
        <f>RTD("rtdtrading.rtdserver",, "PETR4_B_0", "ANO")</f>
        <v>21.966255678131095</v>
      </c>
      <c r="AG22">
        <f>RTD("rtdtrading.rtdserver",, "PETR4_B_0", "TRIM")</f>
        <v>21.966255678131095</v>
      </c>
      <c r="AH22">
        <f>RTD("rtdtrading.rtdserver",, "PETR4_B_0", "SEMES")</f>
        <v>21.966255678131095</v>
      </c>
      <c r="AI22" t="str">
        <f>RTD("rtdtrading.rtdserver",, "PETR4_B_0", "VEN")</f>
        <v>-</v>
      </c>
      <c r="AJ22" t="str">
        <f>RTD("rtdtrading.rtdserver",, "PETR4_B_0", "VAL")</f>
        <v>31/12/9999</v>
      </c>
      <c r="AK22">
        <f>RTD("rtdtrading.rtdserver",, "PETR4_B_0", "CAB")</f>
        <v>0</v>
      </c>
      <c r="AL22" t="str">
        <f>RTD("rtdtrading.rtdserver",, "PETR4_B_0", "EST")</f>
        <v>Aberto</v>
      </c>
      <c r="AM22" t="str">
        <f>RTD("rtdtrading.rtdserver",, "PETR4_B_0", "BLACK")</f>
        <v>-</v>
      </c>
      <c r="AN22" t="str">
        <f>RTD("rtdtrading.rtdserver",, "PETR4_B_0", "IMPVT")</f>
        <v>-</v>
      </c>
      <c r="AO22" t="str">
        <f>RTD("rtdtrading.rtdserver",, "PETR4_B_0", "DELTA")</f>
        <v>-</v>
      </c>
      <c r="AP22" t="str">
        <f>RTD("rtdtrading.rtdserver",, "PETR4_B_0", "GAMA")</f>
        <v>-</v>
      </c>
      <c r="AQ22" t="str">
        <f>RTD("rtdtrading.rtdserver",, "PETR4_B_0", "THETA")</f>
        <v>-</v>
      </c>
      <c r="AR22" t="str">
        <f>RTD("rtdtrading.rtdserver",, "PETR4_B_0", "RHO")</f>
        <v>-</v>
      </c>
      <c r="AS22" t="str">
        <f>RTD("rtdtrading.rtdserver",, "PETR4_B_0", "VEGA")</f>
        <v>-</v>
      </c>
      <c r="AT22" t="str">
        <f>RTD("rtdtrading.rtdserver",, "PETR4_B_0", "VIA")</f>
        <v>-</v>
      </c>
      <c r="AU22" t="str">
        <f>RTD("rtdtrading.rtdserver",, "PETR4_B_0", "VIB")</f>
        <v>-</v>
      </c>
      <c r="AV22" t="str">
        <f>RTD("rtdtrading.rtdserver",, "PETR4_B_0", "DOBRAR")</f>
        <v>-</v>
      </c>
      <c r="AW22" t="str">
        <f>RTD("rtdtrading.rtdserver",, "PETR4_B_0", "VIVH")</f>
        <v>-</v>
      </c>
      <c r="AX22" t="str">
        <f>RTD("rtdtrading.rtdserver",, "PETR4_B_0", "VINT")</f>
        <v>-</v>
      </c>
      <c r="AY22" t="str">
        <f>RTD("rtdtrading.rtdserver",, "PETR4_B_0", "VEXT")</f>
        <v>-</v>
      </c>
      <c r="AZ22" t="str">
        <f>RTD("rtdtrading.rtdserver",, "PETR4_B_0", "67")</f>
        <v>37,54</v>
      </c>
    </row>
    <row r="23" spans="1:52" x14ac:dyDescent="0.35">
      <c r="A23" t="s">
        <v>100</v>
      </c>
      <c r="B23" t="str">
        <f>RTD("rtdtrading.rtdserver",, "IBOV_B_0", "DAT")</f>
        <v>19/02/2026</v>
      </c>
      <c r="C23" t="str">
        <f>RTD("rtdtrading.rtdserver",, "IBOV_B_0", "HOR")</f>
        <v>10:14:30</v>
      </c>
      <c r="D23">
        <f>RTD("rtdtrading.rtdserver",, "IBOV_B_0", "ULT")</f>
        <v>186124.36</v>
      </c>
      <c r="E23">
        <f>RTD("rtdtrading.rtdserver",, "IBOV_B_0", "ABE")</f>
        <v>186020.39</v>
      </c>
      <c r="F23">
        <f>RTD("rtdtrading.rtdserver",, "IBOV_B_0", "MAX")</f>
        <v>186381.83</v>
      </c>
      <c r="G23">
        <f>RTD("rtdtrading.rtdserver",, "IBOV_B_0", "MIN")</f>
        <v>185927.99</v>
      </c>
      <c r="H23">
        <f>RTD("rtdtrading.rtdserver",, "IBOV_B_0", "FEC")</f>
        <v>186016.31</v>
      </c>
      <c r="I23">
        <f>RTD("rtdtrading.rtdserver",, "IBOV_B_0", "PEX")</f>
        <v>0</v>
      </c>
      <c r="J23">
        <f>RTD("rtdtrading.rtdserver",, "IBOV_B_0", "VAR")</f>
        <v>5.8086304367605382E-2</v>
      </c>
      <c r="K23">
        <f>RTD("rtdtrading.rtdserver",, "IBOV_B_0", "VARPTS")</f>
        <v>108.04999999998836</v>
      </c>
      <c r="L23">
        <f>RTD("rtdtrading.rtdserver",, "IBOV_B_0", "MED")</f>
        <v>186113.64249999999</v>
      </c>
      <c r="M23" t="s">
        <v>101</v>
      </c>
      <c r="N23">
        <f>RTD("rtdtrading.rtdserver",, "IBOV_B_0", "NEG")</f>
        <v>30110</v>
      </c>
      <c r="O23">
        <f>RTD("rtdtrading.rtdserver",, "IBOV_B_0", "QUL")</f>
        <v>0</v>
      </c>
      <c r="P23">
        <f>RTD("rtdtrading.rtdserver",, "IBOV_B_0", "QTT")</f>
        <v>17813300</v>
      </c>
      <c r="Q23">
        <f>RTD("rtdtrading.rtdserver",, "IBOV_B_0", "VOL")</f>
        <v>410416416</v>
      </c>
      <c r="R23">
        <f>RTD("rtdtrading.rtdserver",, "IBOV_B_0", "OCP")</f>
        <v>0</v>
      </c>
      <c r="S23">
        <f>RTD("rtdtrading.rtdserver",, "IBOV_B_0", "OVD")</f>
        <v>0</v>
      </c>
      <c r="T23">
        <f>RTD("rtdtrading.rtdserver",, "IBOV_B_0", "VOC")</f>
        <v>0</v>
      </c>
      <c r="U23">
        <f>RTD("rtdtrading.rtdserver",, "IBOV_B_0", "VOV")</f>
        <v>0</v>
      </c>
      <c r="V23">
        <f>RTD("rtdtrading.rtdserver",, "IBOV_B_0", "AJU")</f>
        <v>0</v>
      </c>
      <c r="W23">
        <f>RTD("rtdtrading.rtdserver",, "IBOV_B_0", "AJA")</f>
        <v>185454</v>
      </c>
      <c r="X23">
        <f>RTD("rtdtrading.rtdserver",, "IBOV_B_0", "PRT")</f>
        <v>0</v>
      </c>
      <c r="Y23">
        <f>RTD("rtdtrading.rtdserver",, "IBOV_B_0", "QTE")</f>
        <v>0</v>
      </c>
      <c r="Z23">
        <f>RTD("rtdtrading.rtdserver",, "IBOV_B_0", "VPJ")</f>
        <v>10601628221.659193</v>
      </c>
      <c r="AA23">
        <f>RTD("rtdtrading.rtdserver",, "IBOV_B_0", "SEM")</f>
        <v>-0.18230835607675647</v>
      </c>
      <c r="AB23">
        <f>RTD("rtdtrading.rtdserver",, "IBOV_B_0", "MES")</f>
        <v>2.6248112220789208</v>
      </c>
      <c r="AC23">
        <f>RTD("rtdtrading.rtdserver",, "IBOV_B_0", "3M")</f>
        <v>19.786053167749436</v>
      </c>
      <c r="AD23">
        <f>RTD("rtdtrading.rtdserver",, "IBOV_B_0", "6M")</f>
        <v>38.211370522400273</v>
      </c>
      <c r="AE23">
        <f>RTD("rtdtrading.rtdserver",, "IBOV_B_0", "12M")</f>
        <v>44.808125559054631</v>
      </c>
      <c r="AF23">
        <f>RTD("rtdtrading.rtdserver",, "IBOV_B_0", "ANO")</f>
        <v>15.515241330400043</v>
      </c>
      <c r="AG23">
        <f>RTD("rtdtrading.rtdserver",, "IBOV_B_0", "TRIM")</f>
        <v>15.515241330400043</v>
      </c>
      <c r="AH23">
        <f>RTD("rtdtrading.rtdserver",, "IBOV_B_0", "SEMES")</f>
        <v>15.515241330400043</v>
      </c>
      <c r="AI23" t="str">
        <f>RTD("rtdtrading.rtdserver",, "IBOV_B_0", "VEN")</f>
        <v>01/01/9999</v>
      </c>
      <c r="AJ23" t="str">
        <f>RTD("rtdtrading.rtdserver",, "IBOV_B_0", "VAL")</f>
        <v>31/12/9999</v>
      </c>
      <c r="AK23">
        <f>RTD("rtdtrading.rtdserver",, "IBOV_B_0", "CAB")</f>
        <v>0</v>
      </c>
      <c r="AL23" t="str">
        <f>RTD("rtdtrading.rtdserver",, "IBOV_B_0", "EST")</f>
        <v>Aberto</v>
      </c>
      <c r="AM23" t="str">
        <f>RTD("rtdtrading.rtdserver",, "IBOV_B_0", "BLACK")</f>
        <v>-</v>
      </c>
      <c r="AN23" t="str">
        <f>RTD("rtdtrading.rtdserver",, "IBOV_B_0", "IMPVT")</f>
        <v>-</v>
      </c>
      <c r="AO23" t="str">
        <f>RTD("rtdtrading.rtdserver",, "IBOV_B_0", "DELTA")</f>
        <v>-</v>
      </c>
      <c r="AP23" t="str">
        <f>RTD("rtdtrading.rtdserver",, "IBOV_B_0", "GAMA")</f>
        <v>-</v>
      </c>
      <c r="AQ23" t="str">
        <f>RTD("rtdtrading.rtdserver",, "IBOV_B_0", "THETA")</f>
        <v>-</v>
      </c>
      <c r="AR23" t="str">
        <f>RTD("rtdtrading.rtdserver",, "IBOV_B_0", "RHO")</f>
        <v>-</v>
      </c>
      <c r="AS23" t="str">
        <f>RTD("rtdtrading.rtdserver",, "IBOV_B_0", "VEGA")</f>
        <v>-</v>
      </c>
      <c r="AT23" t="str">
        <f>RTD("rtdtrading.rtdserver",, "IBOV_B_0", "VIA")</f>
        <v>-</v>
      </c>
      <c r="AU23" t="str">
        <f>RTD("rtdtrading.rtdserver",, "IBOV_B_0", "VIB")</f>
        <v>-</v>
      </c>
      <c r="AV23" t="str">
        <f>RTD("rtdtrading.rtdserver",, "IBOV_B_0", "DOBRAR")</f>
        <v>-</v>
      </c>
      <c r="AW23" t="str">
        <f>RTD("rtdtrading.rtdserver",, "IBOV_B_0", "VIVH")</f>
        <v>-</v>
      </c>
      <c r="AX23" t="str">
        <f>RTD("rtdtrading.rtdserver",, "IBOV_B_0", "VINT")</f>
        <v>-</v>
      </c>
      <c r="AY23" t="str">
        <f>RTD("rtdtrading.rtdserver",, "IBOV_B_0", "VEXT")</f>
        <v>-</v>
      </c>
      <c r="AZ23" t="str">
        <f>RTD("rtdtrading.rtdserver",, "IBOV_B_0", "67")</f>
        <v>186.144,73</v>
      </c>
    </row>
    <row r="24" spans="1:52" x14ac:dyDescent="0.35">
      <c r="A24" t="s">
        <v>102</v>
      </c>
      <c r="B24" t="str">
        <f>RTD("rtdtrading.rtdserver",, "USIM5_B_0", "DAT")</f>
        <v>19/02/2026</v>
      </c>
      <c r="C24" t="str">
        <f>RTD("rtdtrading.rtdserver",, "USIM5_B_0", "HOR")</f>
        <v>10:14:00</v>
      </c>
      <c r="D24">
        <f>RTD("rtdtrading.rtdserver",, "USIM5_B_0", "ULT")</f>
        <v>6.32</v>
      </c>
      <c r="E24">
        <f>RTD("rtdtrading.rtdserver",, "USIM5_B_0", "ABE")</f>
        <v>6.3</v>
      </c>
      <c r="F24">
        <f>RTD("rtdtrading.rtdserver",, "USIM5_B_0", "MAX")</f>
        <v>6.34</v>
      </c>
      <c r="G24">
        <f>RTD("rtdtrading.rtdserver",, "USIM5_B_0", "MIN")</f>
        <v>6.3</v>
      </c>
      <c r="H24">
        <f>RTD("rtdtrading.rtdserver",, "USIM5_B_0", "FEC")</f>
        <v>6.32</v>
      </c>
      <c r="I24">
        <f>RTD("rtdtrading.rtdserver",, "USIM5_B_0", "PEX")</f>
        <v>0</v>
      </c>
      <c r="J24">
        <f>RTD("rtdtrading.rtdserver",, "USIM5_B_0", "VAR")</f>
        <v>0</v>
      </c>
      <c r="K24">
        <f>RTD("rtdtrading.rtdserver",, "USIM5_B_0", "VARPTS")</f>
        <v>0</v>
      </c>
      <c r="L24">
        <f>RTD("rtdtrading.rtdserver",, "USIM5_B_0", "MED")</f>
        <v>6.3155879059350504</v>
      </c>
      <c r="M24" t="s">
        <v>103</v>
      </c>
      <c r="N24">
        <f>RTD("rtdtrading.rtdserver",, "USIM5_B_0", "NEG")</f>
        <v>139</v>
      </c>
      <c r="O24">
        <f>RTD("rtdtrading.rtdserver",, "USIM5_B_0", "QUL")</f>
        <v>100</v>
      </c>
      <c r="P24">
        <f>RTD("rtdtrading.rtdserver",, "USIM5_B_0", "QTT")</f>
        <v>89300</v>
      </c>
      <c r="Q24">
        <f>RTD("rtdtrading.rtdserver",, "USIM5_B_0", "VOL")</f>
        <v>563982</v>
      </c>
      <c r="R24">
        <f>RTD("rtdtrading.rtdserver",, "USIM5_B_0", "OCP")</f>
        <v>6.32</v>
      </c>
      <c r="S24">
        <f>RTD("rtdtrading.rtdserver",, "USIM5_B_0", "OVD")</f>
        <v>6.34</v>
      </c>
      <c r="T24">
        <f>RTD("rtdtrading.rtdserver",, "USIM5_B_0", "VOC")</f>
        <v>21000</v>
      </c>
      <c r="U24">
        <f>RTD("rtdtrading.rtdserver",, "USIM5_B_0", "VOV")</f>
        <v>25100</v>
      </c>
      <c r="V24">
        <f>RTD("rtdtrading.rtdserver",, "USIM5_B_0", "AJU")</f>
        <v>0</v>
      </c>
      <c r="W24">
        <f>RTD("rtdtrading.rtdserver",, "USIM5_B_0", "AJA")</f>
        <v>0</v>
      </c>
      <c r="X24">
        <f>RTD("rtdtrading.rtdserver",, "USIM5_B_0", "PRT")</f>
        <v>0</v>
      </c>
      <c r="Y24">
        <f>RTD("rtdtrading.rtdserver",, "USIM5_B_0", "QTE")</f>
        <v>0</v>
      </c>
      <c r="Z24">
        <f>RTD("rtdtrading.rtdserver",, "USIM5_B_0", "VPJ")</f>
        <v>15088742.832172507</v>
      </c>
      <c r="AA24">
        <f>RTD("rtdtrading.rtdserver",, "USIM5_B_0", "SEM")</f>
        <v>0</v>
      </c>
      <c r="AB24">
        <f>RTD("rtdtrading.rtdserver",, "USIM5_B_0", "MES")</f>
        <v>0.31746031746031067</v>
      </c>
      <c r="AC24">
        <f>RTD("rtdtrading.rtdserver",, "USIM5_B_0", "3M")</f>
        <v>23.196881091617939</v>
      </c>
      <c r="AD24">
        <f>RTD("rtdtrading.rtdserver",, "USIM5_B_0", "6M")</f>
        <v>59.193954659949618</v>
      </c>
      <c r="AE24">
        <f>RTD("rtdtrading.rtdserver",, "USIM5_B_0", "12M")</f>
        <v>4.6357615894039776</v>
      </c>
      <c r="AF24">
        <f>RTD("rtdtrading.rtdserver",, "USIM5_B_0", "ANO")</f>
        <v>6.2184873949579851</v>
      </c>
      <c r="AG24">
        <f>RTD("rtdtrading.rtdserver",, "USIM5_B_0", "TRIM")</f>
        <v>6.2184873949579851</v>
      </c>
      <c r="AH24">
        <f>RTD("rtdtrading.rtdserver",, "USIM5_B_0", "SEMES")</f>
        <v>6.2184873949579851</v>
      </c>
      <c r="AI24" t="str">
        <f>RTD("rtdtrading.rtdserver",, "USIM5_B_0", "VEN")</f>
        <v>-</v>
      </c>
      <c r="AJ24" t="str">
        <f>RTD("rtdtrading.rtdserver",, "USIM5_B_0", "VAL")</f>
        <v>31/12/9999</v>
      </c>
      <c r="AK24">
        <f>RTD("rtdtrading.rtdserver",, "USIM5_B_0", "CAB")</f>
        <v>0</v>
      </c>
      <c r="AL24" t="str">
        <f>RTD("rtdtrading.rtdserver",, "USIM5_B_0", "EST")</f>
        <v>Aberto</v>
      </c>
      <c r="AM24" t="str">
        <f>RTD("rtdtrading.rtdserver",, "USIM5_B_0", "BLACK")</f>
        <v>-</v>
      </c>
      <c r="AN24" t="str">
        <f>RTD("rtdtrading.rtdserver",, "USIM5_B_0", "IMPVT")</f>
        <v>-</v>
      </c>
      <c r="AO24" t="str">
        <f>RTD("rtdtrading.rtdserver",, "USIM5_B_0", "DELTA")</f>
        <v>-</v>
      </c>
      <c r="AP24" t="str">
        <f>RTD("rtdtrading.rtdserver",, "USIM5_B_0", "GAMA")</f>
        <v>-</v>
      </c>
      <c r="AQ24" t="str">
        <f>RTD("rtdtrading.rtdserver",, "USIM5_B_0", "THETA")</f>
        <v>-</v>
      </c>
      <c r="AR24" t="str">
        <f>RTD("rtdtrading.rtdserver",, "USIM5_B_0", "RHO")</f>
        <v>-</v>
      </c>
      <c r="AS24" t="str">
        <f>RTD("rtdtrading.rtdserver",, "USIM5_B_0", "VEGA")</f>
        <v>-</v>
      </c>
      <c r="AT24" t="str">
        <f>RTD("rtdtrading.rtdserver",, "USIM5_B_0", "VIA")</f>
        <v>-</v>
      </c>
      <c r="AU24" t="str">
        <f>RTD("rtdtrading.rtdserver",, "USIM5_B_0", "VIB")</f>
        <v>-</v>
      </c>
      <c r="AV24" t="str">
        <f>RTD("rtdtrading.rtdserver",, "USIM5_B_0", "DOBRAR")</f>
        <v>-</v>
      </c>
      <c r="AW24" t="str">
        <f>RTD("rtdtrading.rtdserver",, "USIM5_B_0", "VIVH")</f>
        <v>-</v>
      </c>
      <c r="AX24" t="str">
        <f>RTD("rtdtrading.rtdserver",, "USIM5_B_0", "VINT")</f>
        <v>-</v>
      </c>
      <c r="AY24" t="str">
        <f>RTD("rtdtrading.rtdserver",, "USIM5_B_0", "VEXT")</f>
        <v>-</v>
      </c>
      <c r="AZ24" t="str">
        <f>RTD("rtdtrading.rtdserver",, "USIM5_B_0", "67")</f>
        <v>6,32</v>
      </c>
    </row>
    <row r="25" spans="1:52" x14ac:dyDescent="0.35">
      <c r="A25" t="s">
        <v>104</v>
      </c>
      <c r="B25" t="str">
        <f>RTD("rtdtrading.rtdserver",, "INDFUT_F_0", "DAT")</f>
        <v>19/02/2026</v>
      </c>
      <c r="C25" t="str">
        <f>RTD("rtdtrading.rtdserver",, "INDFUT_F_0", "HOR")</f>
        <v>10:14:34</v>
      </c>
      <c r="D25">
        <f>RTD("rtdtrading.rtdserver",, "INDFUT_F_0", "ULT")</f>
        <v>189750</v>
      </c>
      <c r="E25">
        <f>RTD("rtdtrading.rtdserver",, "INDFUT_F_0", "ABE")</f>
        <v>190310</v>
      </c>
      <c r="F25">
        <f>RTD("rtdtrading.rtdserver",, "INDFUT_F_0", "MAX")</f>
        <v>190680</v>
      </c>
      <c r="G25">
        <f>RTD("rtdtrading.rtdserver",, "INDFUT_F_0", "MIN")</f>
        <v>189695</v>
      </c>
      <c r="H25">
        <f>RTD("rtdtrading.rtdserver",, "INDFUT_F_0", "FEC")</f>
        <v>190145</v>
      </c>
      <c r="I25">
        <f>RTD("rtdtrading.rtdserver",, "INDFUT_F_0", "PEX")</f>
        <v>0</v>
      </c>
      <c r="J25">
        <f>RTD("rtdtrading.rtdserver",, "INDFUT_F_0", "VAR")</f>
        <v>-0.20773620132004522</v>
      </c>
      <c r="K25">
        <f>RTD("rtdtrading.rtdserver",, "INDFUT_F_0", "VARPTS")</f>
        <v>-395</v>
      </c>
      <c r="L25">
        <f>RTD("rtdtrading.rtdserver",, "INDFUT_F_0", "MED")</f>
        <v>190218.37961271466</v>
      </c>
      <c r="M25" t="s">
        <v>105</v>
      </c>
      <c r="N25">
        <f>RTD("rtdtrading.rtdserver",, "INDFUT_F_0", "NEG")</f>
        <v>2622</v>
      </c>
      <c r="O25">
        <f>RTD("rtdtrading.rtdserver",, "INDFUT_F_0", "QUL")</f>
        <v>5</v>
      </c>
      <c r="P25">
        <f>RTD("rtdtrading.rtdserver",, "INDFUT_F_0", "QTT")</f>
        <v>13685</v>
      </c>
      <c r="Q25">
        <f>RTD("rtdtrading.rtdserver",, "INDFUT_F_0", "VOL")</f>
        <v>2603138525</v>
      </c>
      <c r="R25">
        <f>RTD("rtdtrading.rtdserver",, "INDFUT_F_0", "OCP")</f>
        <v>189770</v>
      </c>
      <c r="S25">
        <f>RTD("rtdtrading.rtdserver",, "INDFUT_F_0", "OVD")</f>
        <v>189785</v>
      </c>
      <c r="T25">
        <f>RTD("rtdtrading.rtdserver",, "INDFUT_F_0", "VOC")</f>
        <v>5</v>
      </c>
      <c r="U25">
        <f>RTD("rtdtrading.rtdserver",, "INDFUT_F_0", "VOV")</f>
        <v>5</v>
      </c>
      <c r="V25">
        <f>RTD("rtdtrading.rtdserver",, "INDFUT_F_0", "AJU")</f>
        <v>0</v>
      </c>
      <c r="W25">
        <f>RTD("rtdtrading.rtdserver",, "INDFUT_F_0", "AJA")</f>
        <v>190007</v>
      </c>
      <c r="X25">
        <f>RTD("rtdtrading.rtdserver",, "INDFUT_F_0", "PRT")</f>
        <v>0</v>
      </c>
      <c r="Y25">
        <f>RTD("rtdtrading.rtdserver",, "INDFUT_F_0", "QTE")</f>
        <v>0</v>
      </c>
      <c r="Z25">
        <f>RTD("rtdtrading.rtdserver",, "INDFUT_F_0", "VPJ")</f>
        <v>19890611047.858158</v>
      </c>
      <c r="AA25">
        <f>RTD("rtdtrading.rtdserver",, "INDFUT_F_0", "SEM")</f>
        <v>-0.34138655462184875</v>
      </c>
      <c r="AB25">
        <f>RTD("rtdtrading.rtdserver",, "INDFUT_F_0", "MES")</f>
        <v>2.0148127120940407</v>
      </c>
      <c r="AC25">
        <f>RTD("rtdtrading.rtdserver",, "INDFUT_F_0", "3M")</f>
        <v>15.971376247448635</v>
      </c>
      <c r="AD25">
        <f>RTD("rtdtrading.rtdserver",, "INDFUT_F_0", "6M")</f>
        <v>29.960813133473334</v>
      </c>
      <c r="AE25">
        <f>RTD("rtdtrading.rtdserver",, "INDFUT_F_0", "12M")</f>
        <v>28.463252502697717</v>
      </c>
      <c r="AF25">
        <f>RTD("rtdtrading.rtdserver",, "INDFUT_F_0", "ANO")</f>
        <v>13.867726927728107</v>
      </c>
      <c r="AG25">
        <f>RTD("rtdtrading.rtdserver",, "INDFUT_F_0", "TRIM")</f>
        <v>13.867726927728107</v>
      </c>
      <c r="AH25">
        <f>RTD("rtdtrading.rtdserver",, "INDFUT_F_0", "SEMES")</f>
        <v>13.867726927728107</v>
      </c>
      <c r="AI25" t="str">
        <f>RTD("rtdtrading.rtdserver",, "INDFUT_F_0", "VEN")</f>
        <v>15/04/2026</v>
      </c>
      <c r="AJ25" t="str">
        <f>RTD("rtdtrading.rtdserver",, "INDFUT_F_0", "VAL")</f>
        <v>15/04/2026</v>
      </c>
      <c r="AK25">
        <f>RTD("rtdtrading.rtdserver",, "INDFUT_F_0", "CAB")</f>
        <v>182304</v>
      </c>
      <c r="AL25" t="str">
        <f>RTD("rtdtrading.rtdserver",, "INDFUT_F_0", "EST")</f>
        <v>Aberto</v>
      </c>
      <c r="AM25" t="str">
        <f>RTD("rtdtrading.rtdserver",, "INDFUT_F_0", "BLACK")</f>
        <v>-</v>
      </c>
      <c r="AN25" t="str">
        <f>RTD("rtdtrading.rtdserver",, "INDFUT_F_0", "IMPVT")</f>
        <v>-</v>
      </c>
      <c r="AO25" t="str">
        <f>RTD("rtdtrading.rtdserver",, "INDFUT_F_0", "DELTA")</f>
        <v>-</v>
      </c>
      <c r="AP25" t="str">
        <f>RTD("rtdtrading.rtdserver",, "INDFUT_F_0", "GAMA")</f>
        <v>-</v>
      </c>
      <c r="AQ25" t="str">
        <f>RTD("rtdtrading.rtdserver",, "INDFUT_F_0", "THETA")</f>
        <v>-</v>
      </c>
      <c r="AR25" t="str">
        <f>RTD("rtdtrading.rtdserver",, "INDFUT_F_0", "RHO")</f>
        <v>-</v>
      </c>
      <c r="AS25" t="str">
        <f>RTD("rtdtrading.rtdserver",, "INDFUT_F_0", "VEGA")</f>
        <v>-</v>
      </c>
      <c r="AT25" t="str">
        <f>RTD("rtdtrading.rtdserver",, "INDFUT_F_0", "VIA")</f>
        <v>-</v>
      </c>
      <c r="AU25" t="str">
        <f>RTD("rtdtrading.rtdserver",, "INDFUT_F_0", "VIB")</f>
        <v>-</v>
      </c>
      <c r="AV25" t="str">
        <f>RTD("rtdtrading.rtdserver",, "INDFUT_F_0", "DOBRAR")</f>
        <v>-</v>
      </c>
      <c r="AW25" t="str">
        <f>RTD("rtdtrading.rtdserver",, "INDFUT_F_0", "VIVH")</f>
        <v>-</v>
      </c>
      <c r="AX25" t="str">
        <f>RTD("rtdtrading.rtdserver",, "INDFUT_F_0", "VINT")</f>
        <v>-</v>
      </c>
      <c r="AY25" t="str">
        <f>RTD("rtdtrading.rtdserver",, "INDFUT_F_0", "VEXT")</f>
        <v>-</v>
      </c>
      <c r="AZ25" t="str">
        <f>RTD("rtdtrading.rtdserver",, "INDFUT_F_0", "67")</f>
        <v>190.042</v>
      </c>
    </row>
    <row r="26" spans="1:52" x14ac:dyDescent="0.35">
      <c r="A26" t="s">
        <v>106</v>
      </c>
      <c r="B26" t="str">
        <f>RTD("rtdtrading.rtdserver",, "GGBR4_B_0", "DAT")</f>
        <v>19/02/2026</v>
      </c>
      <c r="C26" t="str">
        <f>RTD("rtdtrading.rtdserver",, "GGBR4_B_0", "HOR")</f>
        <v>10:14:34</v>
      </c>
      <c r="D26">
        <f>RTD("rtdtrading.rtdserver",, "GGBR4_B_0", "ULT")</f>
        <v>21.59</v>
      </c>
      <c r="E26">
        <f>RTD("rtdtrading.rtdserver",, "GGBR4_B_0", "ABE")</f>
        <v>21.57</v>
      </c>
      <c r="F26">
        <f>RTD("rtdtrading.rtdserver",, "GGBR4_B_0", "MAX")</f>
        <v>21.66</v>
      </c>
      <c r="G26">
        <f>RTD("rtdtrading.rtdserver",, "GGBR4_B_0", "MIN")</f>
        <v>21.57</v>
      </c>
      <c r="H26">
        <f>RTD("rtdtrading.rtdserver",, "GGBR4_B_0", "FEC")</f>
        <v>21.62</v>
      </c>
      <c r="I26">
        <f>RTD("rtdtrading.rtdserver",, "GGBR4_B_0", "PEX")</f>
        <v>0</v>
      </c>
      <c r="J26">
        <f>RTD("rtdtrading.rtdserver",, "GGBR4_B_0", "VAR")</f>
        <v>-0.13876040703053252</v>
      </c>
      <c r="K26">
        <f>RTD("rtdtrading.rtdserver",, "GGBR4_B_0", "VARPTS")</f>
        <v>-3.0000000000001137E-2</v>
      </c>
      <c r="L26">
        <f>RTD("rtdtrading.rtdserver",, "GGBR4_B_0", "MED")</f>
        <v>21.613700787401577</v>
      </c>
      <c r="M26" t="s">
        <v>107</v>
      </c>
      <c r="N26">
        <f>RTD("rtdtrading.rtdserver",, "GGBR4_B_0", "NEG")</f>
        <v>273</v>
      </c>
      <c r="O26">
        <f>RTD("rtdtrading.rtdserver",, "GGBR4_B_0", "QUL")</f>
        <v>100</v>
      </c>
      <c r="P26">
        <f>RTD("rtdtrading.rtdserver",, "GGBR4_B_0", "QTT")</f>
        <v>88900</v>
      </c>
      <c r="Q26">
        <f>RTD("rtdtrading.rtdserver",, "GGBR4_B_0", "VOL")</f>
        <v>1921458</v>
      </c>
      <c r="R26">
        <f>RTD("rtdtrading.rtdserver",, "GGBR4_B_0", "OCP")</f>
        <v>21.59</v>
      </c>
      <c r="S26">
        <f>RTD("rtdtrading.rtdserver",, "GGBR4_B_0", "OVD")</f>
        <v>21.61</v>
      </c>
      <c r="T26">
        <f>RTD("rtdtrading.rtdserver",, "GGBR4_B_0", "VOC")</f>
        <v>1300</v>
      </c>
      <c r="U26">
        <f>RTD("rtdtrading.rtdserver",, "GGBR4_B_0", "VOV")</f>
        <v>1000</v>
      </c>
      <c r="V26">
        <f>RTD("rtdtrading.rtdserver",, "GGBR4_B_0", "AJU")</f>
        <v>0</v>
      </c>
      <c r="W26">
        <f>RTD("rtdtrading.rtdserver",, "GGBR4_B_0", "AJA")</f>
        <v>0</v>
      </c>
      <c r="X26">
        <f>RTD("rtdtrading.rtdserver",, "GGBR4_B_0", "PRT")</f>
        <v>0</v>
      </c>
      <c r="Y26">
        <f>RTD("rtdtrading.rtdserver",, "GGBR4_B_0", "QTE")</f>
        <v>0</v>
      </c>
      <c r="Z26">
        <f>RTD("rtdtrading.rtdserver",, "GGBR4_B_0", "VPJ")</f>
        <v>49406781.392176881</v>
      </c>
      <c r="AA26">
        <f>RTD("rtdtrading.rtdserver",, "GGBR4_B_0", "SEM")</f>
        <v>-0.27713625866051855</v>
      </c>
      <c r="AB26">
        <f>RTD("rtdtrading.rtdserver",, "GGBR4_B_0", "MES")</f>
        <v>-3.702051739518295</v>
      </c>
      <c r="AC26">
        <f>RTD("rtdtrading.rtdserver",, "GGBR4_B_0", "3M")</f>
        <v>16.765819361817186</v>
      </c>
      <c r="AD26">
        <f>RTD("rtdtrading.rtdserver",, "GGBR4_B_0", "6M")</f>
        <v>36.348709139594803</v>
      </c>
      <c r="AE26">
        <f>RTD("rtdtrading.rtdserver",, "GGBR4_B_0", "12M")</f>
        <v>28.362148921496338</v>
      </c>
      <c r="AF26">
        <f>RTD("rtdtrading.rtdserver",, "GGBR4_B_0", "ANO")</f>
        <v>5.8852378616969059</v>
      </c>
      <c r="AG26">
        <f>RTD("rtdtrading.rtdserver",, "GGBR4_B_0", "TRIM")</f>
        <v>5.8852378616969059</v>
      </c>
      <c r="AH26">
        <f>RTD("rtdtrading.rtdserver",, "GGBR4_B_0", "SEMES")</f>
        <v>5.8852378616969059</v>
      </c>
      <c r="AI26" t="str">
        <f>RTD("rtdtrading.rtdserver",, "GGBR4_B_0", "VEN")</f>
        <v>-</v>
      </c>
      <c r="AJ26" t="str">
        <f>RTD("rtdtrading.rtdserver",, "GGBR4_B_0", "VAL")</f>
        <v>31/12/9999</v>
      </c>
      <c r="AK26">
        <f>RTD("rtdtrading.rtdserver",, "GGBR4_B_0", "CAB")</f>
        <v>0</v>
      </c>
      <c r="AL26" t="str">
        <f>RTD("rtdtrading.rtdserver",, "GGBR4_B_0", "EST")</f>
        <v>Aberto</v>
      </c>
      <c r="AM26" t="str">
        <f>RTD("rtdtrading.rtdserver",, "GGBR4_B_0", "BLACK")</f>
        <v>-</v>
      </c>
      <c r="AN26" t="str">
        <f>RTD("rtdtrading.rtdserver",, "GGBR4_B_0", "IMPVT")</f>
        <v>-</v>
      </c>
      <c r="AO26" t="str">
        <f>RTD("rtdtrading.rtdserver",, "GGBR4_B_0", "DELTA")</f>
        <v>-</v>
      </c>
      <c r="AP26" t="str">
        <f>RTD("rtdtrading.rtdserver",, "GGBR4_B_0", "GAMA")</f>
        <v>-</v>
      </c>
      <c r="AQ26" t="str">
        <f>RTD("rtdtrading.rtdserver",, "GGBR4_B_0", "THETA")</f>
        <v>-</v>
      </c>
      <c r="AR26" t="str">
        <f>RTD("rtdtrading.rtdserver",, "GGBR4_B_0", "RHO")</f>
        <v>-</v>
      </c>
      <c r="AS26" t="str">
        <f>RTD("rtdtrading.rtdserver",, "GGBR4_B_0", "VEGA")</f>
        <v>-</v>
      </c>
      <c r="AT26" t="str">
        <f>RTD("rtdtrading.rtdserver",, "GGBR4_B_0", "VIA")</f>
        <v>-</v>
      </c>
      <c r="AU26" t="str">
        <f>RTD("rtdtrading.rtdserver",, "GGBR4_B_0", "VIB")</f>
        <v>-</v>
      </c>
      <c r="AV26" t="str">
        <f>RTD("rtdtrading.rtdserver",, "GGBR4_B_0", "DOBRAR")</f>
        <v>-</v>
      </c>
      <c r="AW26" t="str">
        <f>RTD("rtdtrading.rtdserver",, "GGBR4_B_0", "VIVH")</f>
        <v>-</v>
      </c>
      <c r="AX26" t="str">
        <f>RTD("rtdtrading.rtdserver",, "GGBR4_B_0", "VINT")</f>
        <v>-</v>
      </c>
      <c r="AY26" t="str">
        <f>RTD("rtdtrading.rtdserver",, "GGBR4_B_0", "VEXT")</f>
        <v>-</v>
      </c>
      <c r="AZ26" t="str">
        <f>RTD("rtdtrading.rtdserver",, "GGBR4_B_0", "67")</f>
        <v>21,61</v>
      </c>
    </row>
    <row r="27" spans="1:52" x14ac:dyDescent="0.35">
      <c r="A27" t="s">
        <v>108</v>
      </c>
      <c r="B27" t="str">
        <f>RTD("rtdtrading.rtdserver",, "ABEV3_B_0", "DAT")</f>
        <v>19/02/2026</v>
      </c>
      <c r="C27" t="str">
        <f>RTD("rtdtrading.rtdserver",, "ABEV3_B_0", "HOR")</f>
        <v>10:14:36</v>
      </c>
      <c r="D27">
        <f>RTD("rtdtrading.rtdserver",, "ABEV3_B_0", "ULT")</f>
        <v>16.12</v>
      </c>
      <c r="E27">
        <f>RTD("rtdtrading.rtdserver",, "ABEV3_B_0", "ABE")</f>
        <v>16.190000000000001</v>
      </c>
      <c r="F27">
        <f>RTD("rtdtrading.rtdserver",, "ABEV3_B_0", "MAX")</f>
        <v>16.190000000000001</v>
      </c>
      <c r="G27">
        <f>RTD("rtdtrading.rtdserver",, "ABEV3_B_0", "MIN")</f>
        <v>16.05</v>
      </c>
      <c r="H27">
        <f>RTD("rtdtrading.rtdserver",, "ABEV3_B_0", "FEC")</f>
        <v>16.13</v>
      </c>
      <c r="I27">
        <f>RTD("rtdtrading.rtdserver",, "ABEV3_B_0", "PEX")</f>
        <v>0</v>
      </c>
      <c r="J27">
        <f>RTD("rtdtrading.rtdserver",, "ABEV3_B_0", "VAR")</f>
        <v>-6.1996280223174279E-2</v>
      </c>
      <c r="K27">
        <f>RTD("rtdtrading.rtdserver",, "ABEV3_B_0", "VARPTS")</f>
        <v>-9.9999999999980105E-3</v>
      </c>
      <c r="L27">
        <f>RTD("rtdtrading.rtdserver",, "ABEV3_B_0", "MED")</f>
        <v>16.10195244055069</v>
      </c>
      <c r="M27" t="s">
        <v>109</v>
      </c>
      <c r="N27">
        <f>RTD("rtdtrading.rtdserver",, "ABEV3_B_0", "NEG")</f>
        <v>356</v>
      </c>
      <c r="O27">
        <f>RTD("rtdtrading.rtdserver",, "ABEV3_B_0", "QUL")</f>
        <v>400</v>
      </c>
      <c r="P27">
        <f>RTD("rtdtrading.rtdserver",, "ABEV3_B_0", "QTT")</f>
        <v>239700</v>
      </c>
      <c r="Q27">
        <f>RTD("rtdtrading.rtdserver",, "ABEV3_B_0", "VOL")</f>
        <v>3859638</v>
      </c>
      <c r="R27">
        <f>RTD("rtdtrading.rtdserver",, "ABEV3_B_0", "OCP")</f>
        <v>16.12</v>
      </c>
      <c r="S27">
        <f>RTD("rtdtrading.rtdserver",, "ABEV3_B_0", "OVD")</f>
        <v>16.13</v>
      </c>
      <c r="T27">
        <f>RTD("rtdtrading.rtdserver",, "ABEV3_B_0", "VOC")</f>
        <v>7900</v>
      </c>
      <c r="U27">
        <f>RTD("rtdtrading.rtdserver",, "ABEV3_B_0", "VOV")</f>
        <v>16000</v>
      </c>
      <c r="V27">
        <f>RTD("rtdtrading.rtdserver",, "ABEV3_B_0", "AJU")</f>
        <v>0</v>
      </c>
      <c r="W27">
        <f>RTD("rtdtrading.rtdserver",, "ABEV3_B_0", "AJA")</f>
        <v>0</v>
      </c>
      <c r="X27">
        <f>RTD("rtdtrading.rtdserver",, "ABEV3_B_0", "PRT")</f>
        <v>0</v>
      </c>
      <c r="Y27">
        <f>RTD("rtdtrading.rtdserver",, "ABEV3_B_0", "QTE")</f>
        <v>0</v>
      </c>
      <c r="Z27">
        <f>RTD("rtdtrading.rtdserver",, "ABEV3_B_0", "VPJ")</f>
        <v>99016955.037126288</v>
      </c>
      <c r="AA27">
        <f>RTD("rtdtrading.rtdserver",, "ABEV3_B_0", "SEM")</f>
        <v>-1.4067278287461797</v>
      </c>
      <c r="AB27">
        <f>RTD("rtdtrading.rtdserver",, "ABEV3_B_0", "MES")</f>
        <v>8.5521885521885483</v>
      </c>
      <c r="AC27">
        <f>RTD("rtdtrading.rtdserver",, "ABEV3_B_0", "3M")</f>
        <v>26.477003467917843</v>
      </c>
      <c r="AD27">
        <f>RTD("rtdtrading.rtdserver",, "ABEV3_B_0", "6M")</f>
        <v>40.170256428093175</v>
      </c>
      <c r="AE27">
        <f>RTD("rtdtrading.rtdserver",, "ABEV3_B_0", "12M")</f>
        <v>57.372696032489856</v>
      </c>
      <c r="AF27">
        <f>RTD("rtdtrading.rtdserver",, "ABEV3_B_0", "ANO")</f>
        <v>16.305916305916305</v>
      </c>
      <c r="AG27">
        <f>RTD("rtdtrading.rtdserver",, "ABEV3_B_0", "TRIM")</f>
        <v>16.305916305916305</v>
      </c>
      <c r="AH27">
        <f>RTD("rtdtrading.rtdserver",, "ABEV3_B_0", "SEMES")</f>
        <v>16.305916305916305</v>
      </c>
      <c r="AI27" t="str">
        <f>RTD("rtdtrading.rtdserver",, "ABEV3_B_0", "VEN")</f>
        <v>-</v>
      </c>
      <c r="AJ27" t="str">
        <f>RTD("rtdtrading.rtdserver",, "ABEV3_B_0", "VAL")</f>
        <v>31/12/9999</v>
      </c>
      <c r="AK27">
        <f>RTD("rtdtrading.rtdserver",, "ABEV3_B_0", "CAB")</f>
        <v>0</v>
      </c>
      <c r="AL27" t="str">
        <f>RTD("rtdtrading.rtdserver",, "ABEV3_B_0", "EST")</f>
        <v>Aberto</v>
      </c>
      <c r="AM27" t="str">
        <f>RTD("rtdtrading.rtdserver",, "ABEV3_B_0", "BLACK")</f>
        <v>-</v>
      </c>
      <c r="AN27" t="str">
        <f>RTD("rtdtrading.rtdserver",, "ABEV3_B_0", "IMPVT")</f>
        <v>-</v>
      </c>
      <c r="AO27" t="str">
        <f>RTD("rtdtrading.rtdserver",, "ABEV3_B_0", "DELTA")</f>
        <v>-</v>
      </c>
      <c r="AP27" t="str">
        <f>RTD("rtdtrading.rtdserver",, "ABEV3_B_0", "GAMA")</f>
        <v>-</v>
      </c>
      <c r="AQ27" t="str">
        <f>RTD("rtdtrading.rtdserver",, "ABEV3_B_0", "THETA")</f>
        <v>-</v>
      </c>
      <c r="AR27" t="str">
        <f>RTD("rtdtrading.rtdserver",, "ABEV3_B_0", "RHO")</f>
        <v>-</v>
      </c>
      <c r="AS27" t="str">
        <f>RTD("rtdtrading.rtdserver",, "ABEV3_B_0", "VEGA")</f>
        <v>-</v>
      </c>
      <c r="AT27" t="str">
        <f>RTD("rtdtrading.rtdserver",, "ABEV3_B_0", "VIA")</f>
        <v>-</v>
      </c>
      <c r="AU27" t="str">
        <f>RTD("rtdtrading.rtdserver",, "ABEV3_B_0", "VIB")</f>
        <v>-</v>
      </c>
      <c r="AV27" t="str">
        <f>RTD("rtdtrading.rtdserver",, "ABEV3_B_0", "DOBRAR")</f>
        <v>-</v>
      </c>
      <c r="AW27" t="str">
        <f>RTD("rtdtrading.rtdserver",, "ABEV3_B_0", "VIVH")</f>
        <v>-</v>
      </c>
      <c r="AX27" t="str">
        <f>RTD("rtdtrading.rtdserver",, "ABEV3_B_0", "VINT")</f>
        <v>-</v>
      </c>
      <c r="AY27" t="str">
        <f>RTD("rtdtrading.rtdserver",, "ABEV3_B_0", "VEXT")</f>
        <v>-</v>
      </c>
      <c r="AZ27" t="str">
        <f>RTD("rtdtrading.rtdserver",, "ABEV3_B_0", "67")</f>
        <v>16,10</v>
      </c>
    </row>
    <row r="28" spans="1:52" x14ac:dyDescent="0.35">
      <c r="A28" t="s">
        <v>110</v>
      </c>
      <c r="B28" t="str">
        <f>RTD("rtdtrading.rtdserver",, "GOAU4_B_0", "DAT")</f>
        <v>19/02/2026</v>
      </c>
      <c r="C28" t="str">
        <f>RTD("rtdtrading.rtdserver",, "GOAU4_B_0", "HOR")</f>
        <v>10:14:26</v>
      </c>
      <c r="D28">
        <f>RTD("rtdtrading.rtdserver",, "GOAU4_B_0", "ULT")</f>
        <v>9.69</v>
      </c>
      <c r="E28">
        <f>RTD("rtdtrading.rtdserver",, "GOAU4_B_0", "ABE")</f>
        <v>9.6999999999999993</v>
      </c>
      <c r="F28">
        <f>RTD("rtdtrading.rtdserver",, "GOAU4_B_0", "MAX")</f>
        <v>9.73</v>
      </c>
      <c r="G28">
        <f>RTD("rtdtrading.rtdserver",, "GOAU4_B_0", "MIN")</f>
        <v>9.65</v>
      </c>
      <c r="H28">
        <f>RTD("rtdtrading.rtdserver",, "GOAU4_B_0", "FEC")</f>
        <v>9.7000000000000011</v>
      </c>
      <c r="I28">
        <f>RTD("rtdtrading.rtdserver",, "GOAU4_B_0", "PEX")</f>
        <v>0</v>
      </c>
      <c r="J28">
        <f>RTD("rtdtrading.rtdserver",, "GOAU4_B_0", "VAR")</f>
        <v>-0.10309278350517076</v>
      </c>
      <c r="K28">
        <f>RTD("rtdtrading.rtdserver",, "GOAU4_B_0", "VARPTS")</f>
        <v>-1.0000000000001563E-2</v>
      </c>
      <c r="L28">
        <f>RTD("rtdtrading.rtdserver",, "GOAU4_B_0", "MED")</f>
        <v>9.6987959866220734</v>
      </c>
      <c r="M28" t="s">
        <v>111</v>
      </c>
      <c r="N28">
        <f>RTD("rtdtrading.rtdserver",, "GOAU4_B_0", "NEG")</f>
        <v>185</v>
      </c>
      <c r="O28">
        <f>RTD("rtdtrading.rtdserver",, "GOAU4_B_0", "QUL")</f>
        <v>100</v>
      </c>
      <c r="P28">
        <f>RTD("rtdtrading.rtdserver",, "GOAU4_B_0", "QTT")</f>
        <v>89700</v>
      </c>
      <c r="Q28">
        <f>RTD("rtdtrading.rtdserver",, "GOAU4_B_0", "VOL")</f>
        <v>869982</v>
      </c>
      <c r="R28">
        <f>RTD("rtdtrading.rtdserver",, "GOAU4_B_0", "OCP")</f>
        <v>9.69</v>
      </c>
      <c r="S28">
        <f>RTD("rtdtrading.rtdserver",, "GOAU4_B_0", "OVD")</f>
        <v>9.7100000000000009</v>
      </c>
      <c r="T28">
        <f>RTD("rtdtrading.rtdserver",, "GOAU4_B_0", "VOC")</f>
        <v>6500</v>
      </c>
      <c r="U28">
        <f>RTD("rtdtrading.rtdserver",, "GOAU4_B_0", "VOV")</f>
        <v>12700</v>
      </c>
      <c r="V28">
        <f>RTD("rtdtrading.rtdserver",, "GOAU4_B_0", "AJU")</f>
        <v>0</v>
      </c>
      <c r="W28">
        <f>RTD("rtdtrading.rtdserver",, "GOAU4_B_0", "AJA")</f>
        <v>0</v>
      </c>
      <c r="X28">
        <f>RTD("rtdtrading.rtdserver",, "GOAU4_B_0", "PRT")</f>
        <v>0</v>
      </c>
      <c r="Y28">
        <f>RTD("rtdtrading.rtdserver",, "GOAU4_B_0", "QTE")</f>
        <v>0</v>
      </c>
      <c r="Z28">
        <f>RTD("rtdtrading.rtdserver",, "GOAU4_B_0", "VPJ")</f>
        <v>22576648.659278307</v>
      </c>
      <c r="AA28">
        <f>RTD("rtdtrading.rtdserver",, "GOAU4_B_0", "SEM")</f>
        <v>-0.20597322348096134</v>
      </c>
      <c r="AB28">
        <f>RTD("rtdtrading.rtdserver",, "GOAU4_B_0", "MES")</f>
        <v>-1.823708206686945</v>
      </c>
      <c r="AC28">
        <f>RTD("rtdtrading.rtdserver",, "GOAU4_B_0", "3M")</f>
        <v>21.99881652334847</v>
      </c>
      <c r="AD28">
        <f>RTD("rtdtrading.rtdserver",, "GOAU4_B_0", "6M")</f>
        <v>46.202359757385537</v>
      </c>
      <c r="AE28">
        <f>RTD("rtdtrading.rtdserver",, "GOAU4_B_0", "12M")</f>
        <v>39.931839186691299</v>
      </c>
      <c r="AF28">
        <f>RTD("rtdtrading.rtdserver",, "GOAU4_B_0", "ANO")</f>
        <v>7.6666666666666607</v>
      </c>
      <c r="AG28">
        <f>RTD("rtdtrading.rtdserver",, "GOAU4_B_0", "TRIM")</f>
        <v>7.6666666666666607</v>
      </c>
      <c r="AH28">
        <f>RTD("rtdtrading.rtdserver",, "GOAU4_B_0", "SEMES")</f>
        <v>7.6666666666666607</v>
      </c>
      <c r="AI28" t="str">
        <f>RTD("rtdtrading.rtdserver",, "GOAU4_B_0", "VEN")</f>
        <v>-</v>
      </c>
      <c r="AJ28" t="str">
        <f>RTD("rtdtrading.rtdserver",, "GOAU4_B_0", "VAL")</f>
        <v>31/12/9999</v>
      </c>
      <c r="AK28">
        <f>RTD("rtdtrading.rtdserver",, "GOAU4_B_0", "CAB")</f>
        <v>0</v>
      </c>
      <c r="AL28" t="str">
        <f>RTD("rtdtrading.rtdserver",, "GOAU4_B_0", "EST")</f>
        <v>Aberto</v>
      </c>
      <c r="AM28" t="str">
        <f>RTD("rtdtrading.rtdserver",, "GOAU4_B_0", "BLACK")</f>
        <v>-</v>
      </c>
      <c r="AN28" t="str">
        <f>RTD("rtdtrading.rtdserver",, "GOAU4_B_0", "IMPVT")</f>
        <v>-</v>
      </c>
      <c r="AO28" t="str">
        <f>RTD("rtdtrading.rtdserver",, "GOAU4_B_0", "DELTA")</f>
        <v>-</v>
      </c>
      <c r="AP28" t="str">
        <f>RTD("rtdtrading.rtdserver",, "GOAU4_B_0", "GAMA")</f>
        <v>-</v>
      </c>
      <c r="AQ28" t="str">
        <f>RTD("rtdtrading.rtdserver",, "GOAU4_B_0", "THETA")</f>
        <v>-</v>
      </c>
      <c r="AR28" t="str">
        <f>RTD("rtdtrading.rtdserver",, "GOAU4_B_0", "RHO")</f>
        <v>-</v>
      </c>
      <c r="AS28" t="str">
        <f>RTD("rtdtrading.rtdserver",, "GOAU4_B_0", "VEGA")</f>
        <v>-</v>
      </c>
      <c r="AT28" t="str">
        <f>RTD("rtdtrading.rtdserver",, "GOAU4_B_0", "VIA")</f>
        <v>-</v>
      </c>
      <c r="AU28" t="str">
        <f>RTD("rtdtrading.rtdserver",, "GOAU4_B_0", "VIB")</f>
        <v>-</v>
      </c>
      <c r="AV28" t="str">
        <f>RTD("rtdtrading.rtdserver",, "GOAU4_B_0", "DOBRAR")</f>
        <v>-</v>
      </c>
      <c r="AW28" t="str">
        <f>RTD("rtdtrading.rtdserver",, "GOAU4_B_0", "VIVH")</f>
        <v>-</v>
      </c>
      <c r="AX28" t="str">
        <f>RTD("rtdtrading.rtdserver",, "GOAU4_B_0", "VINT")</f>
        <v>-</v>
      </c>
      <c r="AY28" t="str">
        <f>RTD("rtdtrading.rtdserver",, "GOAU4_B_0", "VEXT")</f>
        <v>-</v>
      </c>
      <c r="AZ28" t="str">
        <f>RTD("rtdtrading.rtdserver",, "GOAU4_B_0", "67")</f>
        <v>9,70</v>
      </c>
    </row>
    <row r="29" spans="1:52" x14ac:dyDescent="0.35">
      <c r="A29" t="s">
        <v>112</v>
      </c>
      <c r="B29" t="str">
        <f>RTD("rtdtrading.rtdserver",, "B3SA3_B_0", "DAT")</f>
        <v>19/02/2026</v>
      </c>
      <c r="C29" t="str">
        <f>RTD("rtdtrading.rtdserver",, "B3SA3_B_0", "HOR")</f>
        <v>10:14:34</v>
      </c>
      <c r="D29">
        <f>RTD("rtdtrading.rtdserver",, "B3SA3_B_0", "ULT")</f>
        <v>17.61</v>
      </c>
      <c r="E29">
        <f>RTD("rtdtrading.rtdserver",, "B3SA3_B_0", "ABE")</f>
        <v>17.600000000000001</v>
      </c>
      <c r="F29">
        <f>RTD("rtdtrading.rtdserver",, "B3SA3_B_0", "MAX")</f>
        <v>17.68</v>
      </c>
      <c r="G29">
        <f>RTD("rtdtrading.rtdserver",, "B3SA3_B_0", "MIN")</f>
        <v>17.600000000000001</v>
      </c>
      <c r="H29">
        <f>RTD("rtdtrading.rtdserver",, "B3SA3_B_0", "FEC")</f>
        <v>17.61</v>
      </c>
      <c r="I29">
        <f>RTD("rtdtrading.rtdserver",, "B3SA3_B_0", "PEX")</f>
        <v>0</v>
      </c>
      <c r="J29">
        <f>RTD("rtdtrading.rtdserver",, "B3SA3_B_0", "VAR")</f>
        <v>0</v>
      </c>
      <c r="K29">
        <f>RTD("rtdtrading.rtdserver",, "B3SA3_B_0", "VARPTS")</f>
        <v>0</v>
      </c>
      <c r="L29">
        <f>RTD("rtdtrading.rtdserver",, "B3SA3_B_0", "MED")</f>
        <v>17.630424041297935</v>
      </c>
      <c r="M29" t="s">
        <v>113</v>
      </c>
      <c r="N29">
        <f>RTD("rtdtrading.rtdserver",, "B3SA3_B_0", "NEG")</f>
        <v>379</v>
      </c>
      <c r="O29">
        <f>RTD("rtdtrading.rtdserver",, "B3SA3_B_0", "QUL")</f>
        <v>100</v>
      </c>
      <c r="P29">
        <f>RTD("rtdtrading.rtdserver",, "B3SA3_B_0", "QTT")</f>
        <v>271200</v>
      </c>
      <c r="Q29">
        <f>RTD("rtdtrading.rtdserver",, "B3SA3_B_0", "VOL")</f>
        <v>4781371</v>
      </c>
      <c r="R29">
        <f>RTD("rtdtrading.rtdserver",, "B3SA3_B_0", "OCP")</f>
        <v>17.61</v>
      </c>
      <c r="S29">
        <f>RTD("rtdtrading.rtdserver",, "B3SA3_B_0", "OVD")</f>
        <v>17.62</v>
      </c>
      <c r="T29">
        <f>RTD("rtdtrading.rtdserver",, "B3SA3_B_0", "VOC")</f>
        <v>6300</v>
      </c>
      <c r="U29">
        <f>RTD("rtdtrading.rtdserver",, "B3SA3_B_0", "VOV")</f>
        <v>2600</v>
      </c>
      <c r="V29">
        <f>RTD("rtdtrading.rtdserver",, "B3SA3_B_0", "AJU")</f>
        <v>0</v>
      </c>
      <c r="W29">
        <f>RTD("rtdtrading.rtdserver",, "B3SA3_B_0", "AJA")</f>
        <v>0</v>
      </c>
      <c r="X29">
        <f>RTD("rtdtrading.rtdserver",, "B3SA3_B_0", "PRT")</f>
        <v>0</v>
      </c>
      <c r="Y29">
        <f>RTD("rtdtrading.rtdserver",, "B3SA3_B_0", "QTE")</f>
        <v>0</v>
      </c>
      <c r="Z29">
        <f>RTD("rtdtrading.rtdserver",, "B3SA3_B_0", "VPJ")</f>
        <v>122944218.27169481</v>
      </c>
      <c r="AA29">
        <f>RTD("rtdtrading.rtdserver",, "B3SA3_B_0", "SEM")</f>
        <v>0.85910652920961372</v>
      </c>
      <c r="AB29">
        <f>RTD("rtdtrading.rtdserver",, "B3SA3_B_0", "MES")</f>
        <v>9.0402476780185577</v>
      </c>
      <c r="AC29">
        <f>RTD("rtdtrading.rtdserver",, "B3SA3_B_0", "3M")</f>
        <v>30.179264461282568</v>
      </c>
      <c r="AD29">
        <f>RTD("rtdtrading.rtdserver",, "B3SA3_B_0", "6M")</f>
        <v>46.960643589144425</v>
      </c>
      <c r="AE29">
        <f>RTD("rtdtrading.rtdserver",, "B3SA3_B_0", "12M")</f>
        <v>58.707270252976315</v>
      </c>
      <c r="AF29">
        <f>RTD("rtdtrading.rtdserver",, "B3SA3_B_0", "ANO")</f>
        <v>29.804077661315276</v>
      </c>
      <c r="AG29">
        <f>RTD("rtdtrading.rtdserver",, "B3SA3_B_0", "TRIM")</f>
        <v>29.804077661315276</v>
      </c>
      <c r="AH29">
        <f>RTD("rtdtrading.rtdserver",, "B3SA3_B_0", "SEMES")</f>
        <v>29.804077661315276</v>
      </c>
      <c r="AI29" t="str">
        <f>RTD("rtdtrading.rtdserver",, "B3SA3_B_0", "VEN")</f>
        <v>-</v>
      </c>
      <c r="AJ29" t="str">
        <f>RTD("rtdtrading.rtdserver",, "B3SA3_B_0", "VAL")</f>
        <v>31/12/9999</v>
      </c>
      <c r="AK29">
        <f>RTD("rtdtrading.rtdserver",, "B3SA3_B_0", "CAB")</f>
        <v>0</v>
      </c>
      <c r="AL29" t="str">
        <f>RTD("rtdtrading.rtdserver",, "B3SA3_B_0", "EST")</f>
        <v>Aberto</v>
      </c>
      <c r="AM29" t="str">
        <f>RTD("rtdtrading.rtdserver",, "B3SA3_B_0", "BLACK")</f>
        <v>-</v>
      </c>
      <c r="AN29" t="str">
        <f>RTD("rtdtrading.rtdserver",, "B3SA3_B_0", "IMPVT")</f>
        <v>-</v>
      </c>
      <c r="AO29" t="str">
        <f>RTD("rtdtrading.rtdserver",, "B3SA3_B_0", "DELTA")</f>
        <v>-</v>
      </c>
      <c r="AP29" t="str">
        <f>RTD("rtdtrading.rtdserver",, "B3SA3_B_0", "GAMA")</f>
        <v>-</v>
      </c>
      <c r="AQ29" t="str">
        <f>RTD("rtdtrading.rtdserver",, "B3SA3_B_0", "THETA")</f>
        <v>-</v>
      </c>
      <c r="AR29" t="str">
        <f>RTD("rtdtrading.rtdserver",, "B3SA3_B_0", "RHO")</f>
        <v>-</v>
      </c>
      <c r="AS29" t="str">
        <f>RTD("rtdtrading.rtdserver",, "B3SA3_B_0", "VEGA")</f>
        <v>-</v>
      </c>
      <c r="AT29" t="str">
        <f>RTD("rtdtrading.rtdserver",, "B3SA3_B_0", "VIA")</f>
        <v>-</v>
      </c>
      <c r="AU29" t="str">
        <f>RTD("rtdtrading.rtdserver",, "B3SA3_B_0", "VIB")</f>
        <v>-</v>
      </c>
      <c r="AV29" t="str">
        <f>RTD("rtdtrading.rtdserver",, "B3SA3_B_0", "DOBRAR")</f>
        <v>-</v>
      </c>
      <c r="AW29" t="str">
        <f>RTD("rtdtrading.rtdserver",, "B3SA3_B_0", "VIVH")</f>
        <v>-</v>
      </c>
      <c r="AX29" t="str">
        <f>RTD("rtdtrading.rtdserver",, "B3SA3_B_0", "VINT")</f>
        <v>-</v>
      </c>
      <c r="AY29" t="str">
        <f>RTD("rtdtrading.rtdserver",, "B3SA3_B_0", "VEXT")</f>
        <v>-</v>
      </c>
      <c r="AZ29" t="str">
        <f>RTD("rtdtrading.rtdserver",, "B3SA3_B_0", "67")</f>
        <v>17,63</v>
      </c>
    </row>
    <row r="30" spans="1:52" x14ac:dyDescent="0.35">
      <c r="A30" t="s">
        <v>114</v>
      </c>
      <c r="B30" t="str">
        <f>RTD("rtdtrading.rtdserver",, "PETR3_B_0", "DAT")</f>
        <v>19/02/2026</v>
      </c>
      <c r="C30" t="str">
        <f>RTD("rtdtrading.rtdserver",, "PETR3_B_0", "HOR")</f>
        <v>10:14:35</v>
      </c>
      <c r="D30">
        <f>RTD("rtdtrading.rtdserver",, "PETR3_B_0", "ULT")</f>
        <v>40.53</v>
      </c>
      <c r="E30">
        <f>RTD("rtdtrading.rtdserver",, "PETR3_B_0", "ABE")</f>
        <v>40.5</v>
      </c>
      <c r="F30">
        <f>RTD("rtdtrading.rtdserver",, "PETR3_B_0", "MAX")</f>
        <v>40.85</v>
      </c>
      <c r="G30">
        <f>RTD("rtdtrading.rtdserver",, "PETR3_B_0", "MIN")</f>
        <v>40.340000000000003</v>
      </c>
      <c r="H30">
        <f>RTD("rtdtrading.rtdserver",, "PETR3_B_0", "FEC")</f>
        <v>40.14</v>
      </c>
      <c r="I30">
        <f>RTD("rtdtrading.rtdserver",, "PETR3_B_0", "PEX")</f>
        <v>0</v>
      </c>
      <c r="J30">
        <f>RTD("rtdtrading.rtdserver",, "PETR3_B_0", "VAR")</f>
        <v>0.97159940209267714</v>
      </c>
      <c r="K30">
        <f>RTD("rtdtrading.rtdserver",, "PETR3_B_0", "VARPTS")</f>
        <v>0.39000000000000057</v>
      </c>
      <c r="L30">
        <f>RTD("rtdtrading.rtdserver",, "PETR3_B_0", "MED")</f>
        <v>40.477026875699885</v>
      </c>
      <c r="M30" t="s">
        <v>115</v>
      </c>
      <c r="N30">
        <f>RTD("rtdtrading.rtdserver",, "PETR3_B_0", "NEG")</f>
        <v>363</v>
      </c>
      <c r="O30">
        <f>RTD("rtdtrading.rtdserver",, "PETR3_B_0", "QUL")</f>
        <v>100</v>
      </c>
      <c r="P30">
        <f>RTD("rtdtrading.rtdserver",, "PETR3_B_0", "QTT")</f>
        <v>178600</v>
      </c>
      <c r="Q30">
        <f>RTD("rtdtrading.rtdserver",, "PETR3_B_0", "VOL")</f>
        <v>7229197</v>
      </c>
      <c r="R30">
        <f>RTD("rtdtrading.rtdserver",, "PETR3_B_0", "OCP")</f>
        <v>40.520000000000003</v>
      </c>
      <c r="S30">
        <f>RTD("rtdtrading.rtdserver",, "PETR3_B_0", "OVD")</f>
        <v>40.53</v>
      </c>
      <c r="T30">
        <f>RTD("rtdtrading.rtdserver",, "PETR3_B_0", "VOC")</f>
        <v>1200</v>
      </c>
      <c r="U30">
        <f>RTD("rtdtrading.rtdserver",, "PETR3_B_0", "VOV")</f>
        <v>700</v>
      </c>
      <c r="V30">
        <f>RTD("rtdtrading.rtdserver",, "PETR3_B_0", "AJU")</f>
        <v>0</v>
      </c>
      <c r="W30">
        <f>RTD("rtdtrading.rtdserver",, "PETR3_B_0", "AJA")</f>
        <v>0</v>
      </c>
      <c r="X30">
        <f>RTD("rtdtrading.rtdserver",, "PETR3_B_0", "PRT")</f>
        <v>0</v>
      </c>
      <c r="Y30">
        <f>RTD("rtdtrading.rtdserver",, "PETR3_B_0", "QTE")</f>
        <v>0</v>
      </c>
      <c r="Z30">
        <f>RTD("rtdtrading.rtdserver",, "PETR3_B_0", "VPJ")</f>
        <v>185673150.27690333</v>
      </c>
      <c r="AA30">
        <f>RTD("rtdtrading.rtdserver",, "PETR3_B_0", "SEM")</f>
        <v>2.0906801007556632</v>
      </c>
      <c r="AB30">
        <f>RTD("rtdtrading.rtdserver",, "PETR3_B_0", "MES")</f>
        <v>0.34662045060658719</v>
      </c>
      <c r="AC30">
        <f>RTD("rtdtrading.rtdserver",, "PETR3_B_0", "3M")</f>
        <v>19.339964312845598</v>
      </c>
      <c r="AD30">
        <f>RTD("rtdtrading.rtdserver",, "PETR3_B_0", "6M")</f>
        <v>29.689359904772878</v>
      </c>
      <c r="AE30">
        <f>RTD("rtdtrading.rtdserver",, "PETR3_B_0", "12M")</f>
        <v>5.6304991451565893</v>
      </c>
      <c r="AF30">
        <f>RTD("rtdtrading.rtdserver",, "PETR3_B_0", "ANO")</f>
        <v>24.43966840650906</v>
      </c>
      <c r="AG30">
        <f>RTD("rtdtrading.rtdserver",, "PETR3_B_0", "TRIM")</f>
        <v>24.43966840650906</v>
      </c>
      <c r="AH30">
        <f>RTD("rtdtrading.rtdserver",, "PETR3_B_0", "SEMES")</f>
        <v>24.43966840650906</v>
      </c>
      <c r="AI30" t="str">
        <f>RTD("rtdtrading.rtdserver",, "PETR3_B_0", "VEN")</f>
        <v>-</v>
      </c>
      <c r="AJ30" t="str">
        <f>RTD("rtdtrading.rtdserver",, "PETR3_B_0", "VAL")</f>
        <v>31/12/9999</v>
      </c>
      <c r="AK30">
        <f>RTD("rtdtrading.rtdserver",, "PETR3_B_0", "CAB")</f>
        <v>0</v>
      </c>
      <c r="AL30" t="str">
        <f>RTD("rtdtrading.rtdserver",, "PETR3_B_0", "EST")</f>
        <v>Aberto</v>
      </c>
      <c r="AM30" t="str">
        <f>RTD("rtdtrading.rtdserver",, "PETR3_B_0", "BLACK")</f>
        <v>-</v>
      </c>
      <c r="AN30" t="str">
        <f>RTD("rtdtrading.rtdserver",, "PETR3_B_0", "IMPVT")</f>
        <v>-</v>
      </c>
      <c r="AO30" t="str">
        <f>RTD("rtdtrading.rtdserver",, "PETR3_B_0", "DELTA")</f>
        <v>-</v>
      </c>
      <c r="AP30" t="str">
        <f>RTD("rtdtrading.rtdserver",, "PETR3_B_0", "GAMA")</f>
        <v>-</v>
      </c>
      <c r="AQ30" t="str">
        <f>RTD("rtdtrading.rtdserver",, "PETR3_B_0", "THETA")</f>
        <v>-</v>
      </c>
      <c r="AR30" t="str">
        <f>RTD("rtdtrading.rtdserver",, "PETR3_B_0", "RHO")</f>
        <v>-</v>
      </c>
      <c r="AS30" t="str">
        <f>RTD("rtdtrading.rtdserver",, "PETR3_B_0", "VEGA")</f>
        <v>-</v>
      </c>
      <c r="AT30" t="str">
        <f>RTD("rtdtrading.rtdserver",, "PETR3_B_0", "VIA")</f>
        <v>-</v>
      </c>
      <c r="AU30" t="str">
        <f>RTD("rtdtrading.rtdserver",, "PETR3_B_0", "VIB")</f>
        <v>-</v>
      </c>
      <c r="AV30" t="str">
        <f>RTD("rtdtrading.rtdserver",, "PETR3_B_0", "DOBRAR")</f>
        <v>-</v>
      </c>
      <c r="AW30" t="str">
        <f>RTD("rtdtrading.rtdserver",, "PETR3_B_0", "VIVH")</f>
        <v>-</v>
      </c>
      <c r="AX30" t="str">
        <f>RTD("rtdtrading.rtdserver",, "PETR3_B_0", "VINT")</f>
        <v>-</v>
      </c>
      <c r="AY30" t="str">
        <f>RTD("rtdtrading.rtdserver",, "PETR3_B_0", "VEXT")</f>
        <v>-</v>
      </c>
      <c r="AZ30" t="str">
        <f>RTD("rtdtrading.rtdserver",, "PETR3_B_0", "67")</f>
        <v>40,48</v>
      </c>
    </row>
    <row r="35" spans="7:11" x14ac:dyDescent="0.35">
      <c r="G35" s="1"/>
    </row>
    <row r="38" spans="7:11" x14ac:dyDescent="0.35">
      <c r="K3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8415F-C0D8-4194-8C2D-6FB040CFFA91}">
  <dimension ref="A1:BA26"/>
  <sheetViews>
    <sheetView workbookViewId="0">
      <selection sqref="A1:AZ4"/>
    </sheetView>
  </sheetViews>
  <sheetFormatPr defaultRowHeight="14.5" x14ac:dyDescent="0.35"/>
  <sheetData>
    <row r="1" spans="1:5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51</v>
      </c>
    </row>
    <row r="2" spans="1:53" x14ac:dyDescent="0.35">
      <c r="A2" s="1" t="s">
        <v>52</v>
      </c>
      <c r="B2" s="1">
        <f>RTD("rtdtrading.rtdserver",, "WDOFUT_F_0", "DAT")</f>
        <v>0</v>
      </c>
      <c r="C2" s="1">
        <f>RTD("rtdtrading.rtdserver",, "WDOFUT_F_0", "HOR")</f>
        <v>0</v>
      </c>
      <c r="D2" s="1">
        <f>RTD("rtdtrading.rtdserver",, "WDOFUT_F_0", "ULT")</f>
        <v>0</v>
      </c>
      <c r="E2" s="1">
        <f>RTD("rtdtrading.rtdserver",, "WDOFUT_F_0", "ABE")</f>
        <v>0</v>
      </c>
      <c r="F2" s="1">
        <f>RTD("rtdtrading.rtdserver",, "WDOFUT_F_0", "MAX")</f>
        <v>0</v>
      </c>
      <c r="G2" s="1">
        <f>RTD("rtdtrading.rtdserver",, "WDOFUT_F_0", "MIN")</f>
        <v>0</v>
      </c>
      <c r="H2" s="1">
        <f>RTD("rtdtrading.rtdserver",, "WDOFUT_F_0", "FEC")</f>
        <v>0</v>
      </c>
      <c r="I2" s="1">
        <f>RTD("rtdtrading.rtdserver",, "WDOFUT_F_0", "PEX")</f>
        <v>0</v>
      </c>
      <c r="J2" s="1">
        <f>RTD("rtdtrading.rtdserver",, "WDOFUT_F_0", "VAR")</f>
        <v>0</v>
      </c>
      <c r="K2" s="1">
        <f>RTD("rtdtrading.rtdserver",, "WDOFUT_F_0", "VARPTS")</f>
        <v>0</v>
      </c>
      <c r="L2" s="1">
        <f>RTD("rtdtrading.rtdserver",, "WDOFUT_F_0", "MED")</f>
        <v>0</v>
      </c>
      <c r="M2" s="1" t="s">
        <v>53</v>
      </c>
      <c r="N2" s="1">
        <f>RTD("rtdtrading.rtdserver",, "WDOFUT_F_0", "NEG")</f>
        <v>0</v>
      </c>
      <c r="O2" s="1">
        <f>RTD("rtdtrading.rtdserver",, "WDOFUT_F_0", "QUL")</f>
        <v>0</v>
      </c>
      <c r="P2" s="1">
        <f>RTD("rtdtrading.rtdserver",, "WDOFUT_F_0", "QTT")</f>
        <v>0</v>
      </c>
      <c r="Q2" s="1">
        <f>RTD("rtdtrading.rtdserver",, "WDOFUT_F_0", "VOL")</f>
        <v>0</v>
      </c>
      <c r="R2" s="1">
        <f>RTD("rtdtrading.rtdserver",, "WDOFUT_F_0", "OCP")</f>
        <v>0</v>
      </c>
      <c r="S2" s="1">
        <f>RTD("rtdtrading.rtdserver",, "WDOFUT_F_0", "OVD")</f>
        <v>0</v>
      </c>
      <c r="T2" s="1">
        <f>RTD("rtdtrading.rtdserver",, "WDOFUT_F_0", "VOC")</f>
        <v>0</v>
      </c>
      <c r="U2" s="1">
        <f>RTD("rtdtrading.rtdserver",, "WDOFUT_F_0", "VOV")</f>
        <v>0</v>
      </c>
      <c r="V2" s="1">
        <f>RTD("rtdtrading.rtdserver",, "WDOFUT_F_0", "AJU")</f>
        <v>0</v>
      </c>
      <c r="W2" s="1">
        <f>RTD("rtdtrading.rtdserver",, "WDOFUT_F_0", "AJA")</f>
        <v>0</v>
      </c>
      <c r="X2" s="1">
        <f>RTD("rtdtrading.rtdserver",, "WDOFUT_F_0", "PRT")</f>
        <v>0</v>
      </c>
      <c r="Y2" s="1">
        <f>RTD("rtdtrading.rtdserver",, "WDOFUT_F_0", "QTE")</f>
        <v>0</v>
      </c>
      <c r="Z2" s="1">
        <f>RTD("rtdtrading.rtdserver",, "WDOFUT_F_0", "VPJ")</f>
        <v>0</v>
      </c>
      <c r="AA2" s="1">
        <f>RTD("rtdtrading.rtdserver",, "WDOFUT_F_0", "SEM")</f>
        <v>0</v>
      </c>
      <c r="AB2" s="1">
        <f>RTD("rtdtrading.rtdserver",, "WDOFUT_F_0", "MES")</f>
        <v>0</v>
      </c>
      <c r="AC2" s="1">
        <f>RTD("rtdtrading.rtdserver",, "WDOFUT_F_0", "3M")</f>
        <v>0</v>
      </c>
      <c r="AD2" s="1">
        <f>RTD("rtdtrading.rtdserver",, "WDOFUT_F_0", "6M")</f>
        <v>0</v>
      </c>
      <c r="AE2" s="1">
        <f>RTD("rtdtrading.rtdserver",, "WDOFUT_F_0", "12M")</f>
        <v>0</v>
      </c>
      <c r="AF2" s="1">
        <f>RTD("rtdtrading.rtdserver",, "WDOFUT_F_0", "ANO")</f>
        <v>0</v>
      </c>
      <c r="AG2" s="1">
        <f>RTD("rtdtrading.rtdserver",, "WDOFUT_F_0", "TRIM")</f>
        <v>0</v>
      </c>
      <c r="AH2" s="1">
        <f>RTD("rtdtrading.rtdserver",, "WDOFUT_F_0", "SEMES")</f>
        <v>0</v>
      </c>
      <c r="AI2" s="1">
        <f>RTD("rtdtrading.rtdserver",, "WDOFUT_F_0", "VEN")</f>
        <v>0</v>
      </c>
      <c r="AJ2" s="1">
        <f>RTD("rtdtrading.rtdserver",, "WDOFUT_F_0", "VAL")</f>
        <v>0</v>
      </c>
      <c r="AK2" s="1">
        <f>RTD("rtdtrading.rtdserver",, "WDOFUT_F_0", "CAB")</f>
        <v>0</v>
      </c>
      <c r="AL2" s="1">
        <f>RTD("rtdtrading.rtdserver",, "WDOFUT_F_0", "EST")</f>
        <v>0</v>
      </c>
      <c r="AM2" s="1">
        <f>RTD("rtdtrading.rtdserver",, "WDOFUT_F_0", "BLACK")</f>
        <v>0</v>
      </c>
      <c r="AN2" s="1">
        <f>RTD("rtdtrading.rtdserver",, "WDOFUT_F_0", "IMPVT")</f>
        <v>0</v>
      </c>
      <c r="AO2" s="1">
        <f>RTD("rtdtrading.rtdserver",, "WDOFUT_F_0", "DELTA")</f>
        <v>0</v>
      </c>
      <c r="AP2" s="1">
        <f>RTD("rtdtrading.rtdserver",, "WDOFUT_F_0", "GAMA")</f>
        <v>0</v>
      </c>
      <c r="AQ2" s="1">
        <f>RTD("rtdtrading.rtdserver",, "WDOFUT_F_0", "THETA")</f>
        <v>0</v>
      </c>
      <c r="AR2" s="1">
        <f>RTD("rtdtrading.rtdserver",, "WDOFUT_F_0", "RHO")</f>
        <v>0</v>
      </c>
      <c r="AS2" s="1">
        <f>RTD("rtdtrading.rtdserver",, "WDOFUT_F_0", "VEGA")</f>
        <v>0</v>
      </c>
      <c r="AT2" s="1">
        <f>RTD("rtdtrading.rtdserver",, "WDOFUT_F_0", "VIA")</f>
        <v>0</v>
      </c>
      <c r="AU2" s="1">
        <f>RTD("rtdtrading.rtdserver",, "WDOFUT_F_0", "VIB")</f>
        <v>0</v>
      </c>
      <c r="AV2" s="1">
        <f>RTD("rtdtrading.rtdserver",, "WDOFUT_F_0", "DOBRAR")</f>
        <v>0</v>
      </c>
      <c r="AW2" s="1">
        <f>RTD("rtdtrading.rtdserver",, "WDOFUT_F_0", "VIVH")</f>
        <v>0</v>
      </c>
      <c r="AX2" s="1">
        <f>RTD("rtdtrading.rtdserver",, "WDOFUT_F_0", "VINT")</f>
        <v>0</v>
      </c>
      <c r="AY2" s="1">
        <f>RTD("rtdtrading.rtdserver",, "WDOFUT_F_0", "VEXT")</f>
        <v>0</v>
      </c>
      <c r="AZ2" s="1">
        <f>RTD("rtdtrading.rtdserver",, "WDOFUT_F_0", "67")</f>
        <v>0</v>
      </c>
      <c r="BA2" s="1">
        <f>RTD("rtdtrading.rtdserver",, "WDOFUT_F_0", "67")</f>
        <v>0</v>
      </c>
    </row>
    <row r="3" spans="1:53" x14ac:dyDescent="0.35">
      <c r="A3" s="1" t="s">
        <v>54</v>
      </c>
      <c r="B3" s="1">
        <f>RTD("rtdtrading.rtdserver",, "WINFUT_F_0", "DAT")</f>
        <v>0</v>
      </c>
      <c r="C3" s="1">
        <f>RTD("rtdtrading.rtdserver",, "WINFUT_F_0", "HOR")</f>
        <v>0</v>
      </c>
      <c r="D3" s="1">
        <f>RTD("rtdtrading.rtdserver",, "WINFUT_F_0", "ULT")</f>
        <v>0</v>
      </c>
      <c r="E3" s="1">
        <f>RTD("rtdtrading.rtdserver",, "WINFUT_F_0", "ABE")</f>
        <v>0</v>
      </c>
      <c r="F3" s="1">
        <f>RTD("rtdtrading.rtdserver",, "WINFUT_F_0", "MAX")</f>
        <v>0</v>
      </c>
      <c r="G3" s="1">
        <f>RTD("rtdtrading.rtdserver",, "WINFUT_F_0", "MIN")</f>
        <v>0</v>
      </c>
      <c r="H3" s="1">
        <f>RTD("rtdtrading.rtdserver",, "WINFUT_F_0", "FEC")</f>
        <v>0</v>
      </c>
      <c r="I3" s="1">
        <f>RTD("rtdtrading.rtdserver",, "WINFUT_F_0", "PEX")</f>
        <v>0</v>
      </c>
      <c r="J3" s="1">
        <f>RTD("rtdtrading.rtdserver",, "WINFUT_F_0", "VAR")</f>
        <v>0</v>
      </c>
      <c r="K3" s="1">
        <f>RTD("rtdtrading.rtdserver",, "WINFUT_F_0", "VARPTS")</f>
        <v>0</v>
      </c>
      <c r="L3" s="1">
        <f>RTD("rtdtrading.rtdserver",, "WINFUT_F_0", "MED")</f>
        <v>0</v>
      </c>
      <c r="M3" s="1" t="s">
        <v>55</v>
      </c>
      <c r="N3" s="1">
        <f>RTD("rtdtrading.rtdserver",, "WINFUT_F_0", "NEG")</f>
        <v>0</v>
      </c>
      <c r="O3" s="1">
        <f>RTD("rtdtrading.rtdserver",, "WINFUT_F_0", "QUL")</f>
        <v>0</v>
      </c>
      <c r="P3" s="1">
        <f>RTD("rtdtrading.rtdserver",, "WINFUT_F_0", "QTT")</f>
        <v>0</v>
      </c>
      <c r="Q3" s="1">
        <f>RTD("rtdtrading.rtdserver",, "WINFUT_F_0", "VOL")</f>
        <v>0</v>
      </c>
      <c r="R3" s="1">
        <f>RTD("rtdtrading.rtdserver",, "WINFUT_F_0", "OCP")</f>
        <v>0</v>
      </c>
      <c r="S3" s="1">
        <f>RTD("rtdtrading.rtdserver",, "WINFUT_F_0", "OVD")</f>
        <v>0</v>
      </c>
      <c r="T3" s="1">
        <f>RTD("rtdtrading.rtdserver",, "WINFUT_F_0", "VOC")</f>
        <v>0</v>
      </c>
      <c r="U3" s="1">
        <f>RTD("rtdtrading.rtdserver",, "WINFUT_F_0", "VOV")</f>
        <v>0</v>
      </c>
      <c r="V3" s="1">
        <f>RTD("rtdtrading.rtdserver",, "WINFUT_F_0", "AJU")</f>
        <v>0</v>
      </c>
      <c r="W3" s="1">
        <f>RTD("rtdtrading.rtdserver",, "WINFUT_F_0", "AJA")</f>
        <v>0</v>
      </c>
      <c r="X3" s="1">
        <f>RTD("rtdtrading.rtdserver",, "WINFUT_F_0", "PRT")</f>
        <v>0</v>
      </c>
      <c r="Y3" s="1">
        <f>RTD("rtdtrading.rtdserver",, "WINFUT_F_0", "QTE")</f>
        <v>0</v>
      </c>
      <c r="Z3" s="1">
        <f>RTD("rtdtrading.rtdserver",, "WINFUT_F_0", "VPJ")</f>
        <v>0</v>
      </c>
      <c r="AA3" s="1">
        <f>RTD("rtdtrading.rtdserver",, "WINFUT_F_0", "SEM")</f>
        <v>0</v>
      </c>
      <c r="AB3" s="1">
        <f>RTD("rtdtrading.rtdserver",, "WINFUT_F_0", "MES")</f>
        <v>0</v>
      </c>
      <c r="AC3" s="1">
        <f>RTD("rtdtrading.rtdserver",, "WINFUT_F_0", "3M")</f>
        <v>0</v>
      </c>
      <c r="AD3" s="1">
        <f>RTD("rtdtrading.rtdserver",, "WINFUT_F_0", "6M")</f>
        <v>0</v>
      </c>
      <c r="AE3" s="1">
        <f>RTD("rtdtrading.rtdserver",, "WINFUT_F_0", "12M")</f>
        <v>0</v>
      </c>
      <c r="AF3" s="1">
        <f>RTD("rtdtrading.rtdserver",, "WINFUT_F_0", "ANO")</f>
        <v>0</v>
      </c>
      <c r="AG3" s="1">
        <f>RTD("rtdtrading.rtdserver",, "WINFUT_F_0", "TRIM")</f>
        <v>0</v>
      </c>
      <c r="AH3" s="1">
        <f>RTD("rtdtrading.rtdserver",, "WINFUT_F_0", "SEMES")</f>
        <v>0</v>
      </c>
      <c r="AI3" s="1">
        <f>RTD("rtdtrading.rtdserver",, "WINFUT_F_0", "VEN")</f>
        <v>0</v>
      </c>
      <c r="AJ3" s="1">
        <f>RTD("rtdtrading.rtdserver",, "WINFUT_F_0", "VAL")</f>
        <v>0</v>
      </c>
      <c r="AK3" s="1">
        <f>RTD("rtdtrading.rtdserver",, "WINFUT_F_0", "CAB")</f>
        <v>0</v>
      </c>
      <c r="AL3" s="1">
        <f>RTD("rtdtrading.rtdserver",, "WINFUT_F_0", "EST")</f>
        <v>0</v>
      </c>
      <c r="AM3" s="1">
        <f>RTD("rtdtrading.rtdserver",, "WINFUT_F_0", "BLACK")</f>
        <v>0</v>
      </c>
      <c r="AN3" s="1">
        <f>RTD("rtdtrading.rtdserver",, "WINFUT_F_0", "IMPVT")</f>
        <v>0</v>
      </c>
      <c r="AO3" s="1">
        <f>RTD("rtdtrading.rtdserver",, "WINFUT_F_0", "DELTA")</f>
        <v>0</v>
      </c>
      <c r="AP3" s="1">
        <f>RTD("rtdtrading.rtdserver",, "WINFUT_F_0", "GAMA")</f>
        <v>0</v>
      </c>
      <c r="AQ3" s="1">
        <f>RTD("rtdtrading.rtdserver",, "WINFUT_F_0", "THETA")</f>
        <v>0</v>
      </c>
      <c r="AR3" s="1">
        <f>RTD("rtdtrading.rtdserver",, "WINFUT_F_0", "RHO")</f>
        <v>0</v>
      </c>
      <c r="AS3" s="1">
        <f>RTD("rtdtrading.rtdserver",, "WINFUT_F_0", "VEGA")</f>
        <v>0</v>
      </c>
      <c r="AT3" s="1">
        <f>RTD("rtdtrading.rtdserver",, "WINFUT_F_0", "VIA")</f>
        <v>0</v>
      </c>
      <c r="AU3" s="1">
        <f>RTD("rtdtrading.rtdserver",, "WINFUT_F_0", "VIB")</f>
        <v>0</v>
      </c>
      <c r="AV3" s="1">
        <f>RTD("rtdtrading.rtdserver",, "WINFUT_F_0", "DOBRAR")</f>
        <v>0</v>
      </c>
      <c r="AW3" s="1">
        <f>RTD("rtdtrading.rtdserver",, "WINFUT_F_0", "VIVH")</f>
        <v>0</v>
      </c>
      <c r="AX3" s="1">
        <f>RTD("rtdtrading.rtdserver",, "WINFUT_F_0", "VINT")</f>
        <v>0</v>
      </c>
      <c r="AY3" s="1">
        <f>RTD("rtdtrading.rtdserver",, "WINFUT_F_0", "VEXT")</f>
        <v>0</v>
      </c>
      <c r="AZ3" s="1">
        <f>RTD("rtdtrading.rtdserver",, "WINFUT_F_0", "67")</f>
        <v>0</v>
      </c>
      <c r="BA3" s="1">
        <f>RTD("rtdtrading.rtdserver",, "WINFUT_F_0", "67")</f>
        <v>0</v>
      </c>
    </row>
    <row r="4" spans="1:53" x14ac:dyDescent="0.35">
      <c r="A4" s="1" t="s">
        <v>56</v>
      </c>
      <c r="B4" s="1">
        <f>RTD("rtdtrading.rtdserver",, "BITFUT_F_0", "DAT")</f>
        <v>0</v>
      </c>
      <c r="C4" s="1">
        <f>RTD("rtdtrading.rtdserver",, "BITFUT_F_0", "HOR")</f>
        <v>0</v>
      </c>
      <c r="D4" s="1">
        <f>RTD("rtdtrading.rtdserver",, "BITFUT_F_0", "ULT")</f>
        <v>0</v>
      </c>
      <c r="E4" s="1">
        <f>RTD("rtdtrading.rtdserver",, "BITFUT_F_0", "ABE")</f>
        <v>0</v>
      </c>
      <c r="F4" s="1">
        <f>RTD("rtdtrading.rtdserver",, "BITFUT_F_0", "MAX")</f>
        <v>0</v>
      </c>
      <c r="G4" s="1">
        <f>RTD("rtdtrading.rtdserver",, "BITFUT_F_0", "MIN")</f>
        <v>0</v>
      </c>
      <c r="H4" s="1">
        <f>RTD("rtdtrading.rtdserver",, "BITFUT_F_0", "FEC")</f>
        <v>0</v>
      </c>
      <c r="I4" s="1">
        <f>RTD("rtdtrading.rtdserver",, "BITFUT_F_0", "PEX")</f>
        <v>0</v>
      </c>
      <c r="J4" s="1">
        <f>RTD("rtdtrading.rtdserver",, "BITFUT_F_0", "VAR")</f>
        <v>0</v>
      </c>
      <c r="K4" s="1">
        <f>RTD("rtdtrading.rtdserver",, "BITFUT_F_0", "VARPTS")</f>
        <v>0</v>
      </c>
      <c r="L4" s="1">
        <f>RTD("rtdtrading.rtdserver",, "BITFUT_F_0", "MED")</f>
        <v>0</v>
      </c>
      <c r="M4" s="1" t="s">
        <v>57</v>
      </c>
      <c r="N4" s="1">
        <f>RTD("rtdtrading.rtdserver",, "BITFUT_F_0", "NEG")</f>
        <v>0</v>
      </c>
      <c r="O4" s="1">
        <f>RTD("rtdtrading.rtdserver",, "BITFUT_F_0", "QUL")</f>
        <v>0</v>
      </c>
      <c r="P4" s="1">
        <f>RTD("rtdtrading.rtdserver",, "BITFUT_F_0", "QTT")</f>
        <v>0</v>
      </c>
      <c r="Q4" s="1">
        <f>RTD("rtdtrading.rtdserver",, "BITFUT_F_0", "VOL")</f>
        <v>0</v>
      </c>
      <c r="R4" s="1">
        <f>RTD("rtdtrading.rtdserver",, "BITFUT_F_0", "OCP")</f>
        <v>0</v>
      </c>
      <c r="S4" s="1">
        <f>RTD("rtdtrading.rtdserver",, "BITFUT_F_0", "OVD")</f>
        <v>0</v>
      </c>
      <c r="T4" s="1">
        <f>RTD("rtdtrading.rtdserver",, "BITFUT_F_0", "VOC")</f>
        <v>0</v>
      </c>
      <c r="U4" s="1">
        <f>RTD("rtdtrading.rtdserver",, "BITFUT_F_0", "VOV")</f>
        <v>0</v>
      </c>
      <c r="V4" s="1">
        <f>RTD("rtdtrading.rtdserver",, "BITFUT_F_0", "AJU")</f>
        <v>0</v>
      </c>
      <c r="W4" s="1">
        <f>RTD("rtdtrading.rtdserver",, "BITFUT_F_0", "AJA")</f>
        <v>0</v>
      </c>
      <c r="X4" s="1">
        <f>RTD("rtdtrading.rtdserver",, "BITFUT_F_0", "PRT")</f>
        <v>0</v>
      </c>
      <c r="Y4" s="1">
        <f>RTD("rtdtrading.rtdserver",, "BITFUT_F_0", "QTE")</f>
        <v>0</v>
      </c>
      <c r="Z4" s="1">
        <f>RTD("rtdtrading.rtdserver",, "BITFUT_F_0", "VPJ")</f>
        <v>0</v>
      </c>
      <c r="AA4" s="1">
        <f>RTD("rtdtrading.rtdserver",, "BITFUT_F_0", "SEM")</f>
        <v>0</v>
      </c>
      <c r="AB4" s="1">
        <f>RTD("rtdtrading.rtdserver",, "BITFUT_F_0", "MES")</f>
        <v>0</v>
      </c>
      <c r="AC4" s="1">
        <f>RTD("rtdtrading.rtdserver",, "BITFUT_F_0", "3M")</f>
        <v>0</v>
      </c>
      <c r="AD4" s="1">
        <f>RTD("rtdtrading.rtdserver",, "BITFUT_F_0", "6M")</f>
        <v>0</v>
      </c>
      <c r="AE4" s="1">
        <f>RTD("rtdtrading.rtdserver",, "BITFUT_F_0", "12M")</f>
        <v>0</v>
      </c>
      <c r="AF4" s="1">
        <f>RTD("rtdtrading.rtdserver",, "BITFUT_F_0", "ANO")</f>
        <v>0</v>
      </c>
      <c r="AG4" s="1">
        <f>RTD("rtdtrading.rtdserver",, "BITFUT_F_0", "TRIM")</f>
        <v>0</v>
      </c>
      <c r="AH4" s="1">
        <f>RTD("rtdtrading.rtdserver",, "BITFUT_F_0", "SEMES")</f>
        <v>0</v>
      </c>
      <c r="AI4" s="1">
        <f>RTD("rtdtrading.rtdserver",, "BITFUT_F_0", "VEN")</f>
        <v>0</v>
      </c>
      <c r="AJ4" s="1">
        <f>RTD("rtdtrading.rtdserver",, "BITFUT_F_0", "VAL")</f>
        <v>0</v>
      </c>
      <c r="AK4" s="1">
        <f>RTD("rtdtrading.rtdserver",, "BITFUT_F_0", "CAB")</f>
        <v>0</v>
      </c>
      <c r="AL4" s="1">
        <f>RTD("rtdtrading.rtdserver",, "BITFUT_F_0", "EST")</f>
        <v>0</v>
      </c>
      <c r="AM4" s="1">
        <f>RTD("rtdtrading.rtdserver",, "BITFUT_F_0", "BLACK")</f>
        <v>0</v>
      </c>
      <c r="AN4" s="1">
        <f>RTD("rtdtrading.rtdserver",, "BITFUT_F_0", "IMPVT")</f>
        <v>0</v>
      </c>
      <c r="AO4" s="1">
        <f>RTD("rtdtrading.rtdserver",, "BITFUT_F_0", "DELTA")</f>
        <v>0</v>
      </c>
      <c r="AP4" s="1">
        <f>RTD("rtdtrading.rtdserver",, "BITFUT_F_0", "GAMA")</f>
        <v>0</v>
      </c>
      <c r="AQ4" s="1">
        <f>RTD("rtdtrading.rtdserver",, "BITFUT_F_0", "THETA")</f>
        <v>0</v>
      </c>
      <c r="AR4" s="1">
        <f>RTD("rtdtrading.rtdserver",, "BITFUT_F_0", "RHO")</f>
        <v>0</v>
      </c>
      <c r="AS4" s="1">
        <f>RTD("rtdtrading.rtdserver",, "BITFUT_F_0", "VEGA")</f>
        <v>0</v>
      </c>
      <c r="AT4" s="1">
        <f>RTD("rtdtrading.rtdserver",, "BITFUT_F_0", "VIA")</f>
        <v>0</v>
      </c>
      <c r="AU4" s="1">
        <f>RTD("rtdtrading.rtdserver",, "BITFUT_F_0", "VIB")</f>
        <v>0</v>
      </c>
      <c r="AV4" s="1">
        <f>RTD("rtdtrading.rtdserver",, "BITFUT_F_0", "DOBRAR")</f>
        <v>0</v>
      </c>
      <c r="AW4" s="1">
        <f>RTD("rtdtrading.rtdserver",, "BITFUT_F_0", "VIVH")</f>
        <v>0</v>
      </c>
      <c r="AX4" s="1">
        <f>RTD("rtdtrading.rtdserver",, "BITFUT_F_0", "VINT")</f>
        <v>0</v>
      </c>
      <c r="AY4" s="1">
        <f>RTD("rtdtrading.rtdserver",, "BITFUT_F_0", "VEXT")</f>
        <v>0</v>
      </c>
      <c r="AZ4" s="1">
        <f>RTD("rtdtrading.rtdserver",, "BITFUT_F_0", "67")</f>
        <v>0</v>
      </c>
      <c r="BA4" s="1">
        <f>RTD("rtdtrading.rtdserver",, "BITFUT_F_0", "67")</f>
        <v>0</v>
      </c>
    </row>
    <row r="13" spans="1:53" x14ac:dyDescent="0.35">
      <c r="G13" t="s">
        <v>116</v>
      </c>
    </row>
    <row r="26" spans="21:21" x14ac:dyDescent="0.35">
      <c r="U26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Ações</vt:lpstr>
      <vt:lpstr>Futuros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Farrofa DeBacon</dc:creator>
  <cp:keywords/>
  <dc:description/>
  <cp:lastModifiedBy>Farrofa DeBacon</cp:lastModifiedBy>
  <cp:revision/>
  <dcterms:created xsi:type="dcterms:W3CDTF">2026-02-04T01:07:48Z</dcterms:created>
  <dcterms:modified xsi:type="dcterms:W3CDTF">2026-02-22T23:40:54Z</dcterms:modified>
  <cp:category/>
  <cp:contentStatus/>
</cp:coreProperties>
</file>