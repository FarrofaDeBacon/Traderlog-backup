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TOS\TraderLogPro\"/>
    </mc:Choice>
  </mc:AlternateContent>
  <xr:revisionPtr revIDLastSave="0" documentId="13_ncr:1_{9C0D9EC6-6AED-4567-9686-F6F9F957CDD6}" xr6:coauthVersionLast="47" xr6:coauthVersionMax="47" xr10:uidLastSave="{00000000-0000-0000-0000-000000000000}"/>
  <bookViews>
    <workbookView xWindow="1520" yWindow="1520" windowWidth="25800" windowHeight="9970" xr2:uid="{00000000-000D-0000-FFFF-FFFF00000000}"/>
  </bookViews>
  <sheets>
    <sheet name="Ações" sheetId="1" r:id="rId1"/>
    <sheet name="Futur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1" i="1" l="1"/>
  <c r="C11" i="1"/>
  <c r="D11" i="1"/>
  <c r="E11" i="1"/>
  <c r="F11" i="1"/>
  <c r="G11" i="1"/>
  <c r="H11" i="1"/>
  <c r="I11" i="1"/>
  <c r="J11" i="1"/>
  <c r="K11" i="1"/>
  <c r="L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12" i="1"/>
  <c r="C12" i="1"/>
  <c r="D12" i="1"/>
  <c r="E12" i="1"/>
  <c r="F12" i="1"/>
  <c r="G12" i="1"/>
  <c r="H12" i="1"/>
  <c r="I12" i="1"/>
  <c r="J12" i="1"/>
  <c r="K12" i="1"/>
  <c r="L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13" i="1"/>
  <c r="C13" i="1"/>
  <c r="D13" i="1"/>
  <c r="E13" i="1"/>
  <c r="F13" i="1"/>
  <c r="G13" i="1"/>
  <c r="H13" i="1"/>
  <c r="I13" i="1"/>
  <c r="J13" i="1"/>
  <c r="K13" i="1"/>
  <c r="L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14" i="1"/>
  <c r="C14" i="1"/>
  <c r="D14" i="1"/>
  <c r="E14" i="1"/>
  <c r="F14" i="1"/>
  <c r="G14" i="1"/>
  <c r="H14" i="1"/>
  <c r="I14" i="1"/>
  <c r="J14" i="1"/>
  <c r="K14" i="1"/>
  <c r="L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15" i="1"/>
  <c r="C15" i="1"/>
  <c r="D15" i="1"/>
  <c r="E15" i="1"/>
  <c r="F15" i="1"/>
  <c r="G15" i="1"/>
  <c r="H15" i="1"/>
  <c r="I15" i="1"/>
  <c r="J15" i="1"/>
  <c r="K15" i="1"/>
  <c r="L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16" i="1"/>
  <c r="C16" i="1"/>
  <c r="D16" i="1"/>
  <c r="E16" i="1"/>
  <c r="F16" i="1"/>
  <c r="G16" i="1"/>
  <c r="H16" i="1"/>
  <c r="I16" i="1"/>
  <c r="J16" i="1"/>
  <c r="K16" i="1"/>
  <c r="L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17" i="1"/>
  <c r="C17" i="1"/>
  <c r="D17" i="1"/>
  <c r="E17" i="1"/>
  <c r="F17" i="1"/>
  <c r="G17" i="1"/>
  <c r="H17" i="1"/>
  <c r="I17" i="1"/>
  <c r="J17" i="1"/>
  <c r="K17" i="1"/>
  <c r="L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18" i="1"/>
  <c r="C18" i="1"/>
  <c r="D18" i="1"/>
  <c r="E18" i="1"/>
  <c r="F18" i="1"/>
  <c r="G18" i="1"/>
  <c r="H18" i="1"/>
  <c r="I18" i="1"/>
  <c r="J18" i="1"/>
  <c r="K18" i="1"/>
  <c r="L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19" i="1"/>
  <c r="C19" i="1"/>
  <c r="D19" i="1"/>
  <c r="E19" i="1"/>
  <c r="F19" i="1"/>
  <c r="G19" i="1"/>
  <c r="H19" i="1"/>
  <c r="I19" i="1"/>
  <c r="J19" i="1"/>
  <c r="K19" i="1"/>
  <c r="L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20" i="1"/>
  <c r="C20" i="1"/>
  <c r="D20" i="1"/>
  <c r="E20" i="1"/>
  <c r="F20" i="1"/>
  <c r="G20" i="1"/>
  <c r="H20" i="1"/>
  <c r="I20" i="1"/>
  <c r="J20" i="1"/>
  <c r="K20" i="1"/>
  <c r="L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BA20" i="1"/>
  <c r="B21" i="1"/>
  <c r="C21" i="1"/>
  <c r="D21" i="1"/>
  <c r="E21" i="1"/>
  <c r="F21" i="1"/>
  <c r="G21" i="1"/>
  <c r="H21" i="1"/>
  <c r="I21" i="1"/>
  <c r="J21" i="1"/>
  <c r="K21" i="1"/>
  <c r="L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22" i="1"/>
  <c r="C22" i="1"/>
  <c r="D22" i="1"/>
  <c r="E22" i="1"/>
  <c r="F22" i="1"/>
  <c r="G22" i="1"/>
  <c r="H22" i="1"/>
  <c r="I22" i="1"/>
  <c r="J22" i="1"/>
  <c r="K22" i="1"/>
  <c r="L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23" i="1"/>
  <c r="C23" i="1"/>
  <c r="D23" i="1"/>
  <c r="E23" i="1"/>
  <c r="F23" i="1"/>
  <c r="G23" i="1"/>
  <c r="H23" i="1"/>
  <c r="I23" i="1"/>
  <c r="J23" i="1"/>
  <c r="K23" i="1"/>
  <c r="L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AY23" i="1"/>
  <c r="AZ23" i="1"/>
  <c r="BA23" i="1"/>
  <c r="B24" i="1"/>
  <c r="C24" i="1"/>
  <c r="D24" i="1"/>
  <c r="E24" i="1"/>
  <c r="F24" i="1"/>
  <c r="G24" i="1"/>
  <c r="H24" i="1"/>
  <c r="I24" i="1"/>
  <c r="J24" i="1"/>
  <c r="K24" i="1"/>
  <c r="L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25" i="1"/>
  <c r="C25" i="1"/>
  <c r="D25" i="1"/>
  <c r="E25" i="1"/>
  <c r="F25" i="1"/>
  <c r="G25" i="1"/>
  <c r="H25" i="1"/>
  <c r="I25" i="1"/>
  <c r="J25" i="1"/>
  <c r="K25" i="1"/>
  <c r="L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26" i="1"/>
  <c r="C26" i="1"/>
  <c r="D26" i="1"/>
  <c r="E26" i="1"/>
  <c r="F26" i="1"/>
  <c r="G26" i="1"/>
  <c r="H26" i="1"/>
  <c r="I26" i="1"/>
  <c r="J26" i="1"/>
  <c r="K26" i="1"/>
  <c r="L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27" i="1"/>
  <c r="C27" i="1"/>
  <c r="D27" i="1"/>
  <c r="E27" i="1"/>
  <c r="F27" i="1"/>
  <c r="G27" i="1"/>
  <c r="H27" i="1"/>
  <c r="I27" i="1"/>
  <c r="J27" i="1"/>
  <c r="K27" i="1"/>
  <c r="L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28" i="1"/>
  <c r="C28" i="1"/>
  <c r="D28" i="1"/>
  <c r="E28" i="1"/>
  <c r="F28" i="1"/>
  <c r="G28" i="1"/>
  <c r="H28" i="1"/>
  <c r="I28" i="1"/>
  <c r="J28" i="1"/>
  <c r="K28" i="1"/>
  <c r="L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29" i="1"/>
  <c r="C29" i="1"/>
  <c r="D29" i="1"/>
  <c r="E29" i="1"/>
  <c r="F29" i="1"/>
  <c r="G29" i="1"/>
  <c r="H29" i="1"/>
  <c r="I29" i="1"/>
  <c r="J29" i="1"/>
  <c r="K29" i="1"/>
  <c r="L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AK29" i="1"/>
  <c r="AL29" i="1"/>
  <c r="AM29" i="1"/>
  <c r="AN29" i="1"/>
  <c r="AO29" i="1"/>
  <c r="AP29" i="1"/>
  <c r="AQ29" i="1"/>
  <c r="AR29" i="1"/>
  <c r="AS29" i="1"/>
  <c r="AT29" i="1"/>
  <c r="AU29" i="1"/>
  <c r="AV29" i="1"/>
  <c r="AW29" i="1"/>
  <c r="AX29" i="1"/>
  <c r="AY29" i="1"/>
  <c r="AZ29" i="1"/>
  <c r="BA29" i="1"/>
  <c r="B30" i="1"/>
  <c r="C30" i="1"/>
  <c r="D30" i="1"/>
  <c r="E30" i="1"/>
  <c r="F30" i="1"/>
  <c r="G30" i="1"/>
  <c r="H30" i="1"/>
  <c r="I30" i="1"/>
  <c r="J30" i="1"/>
  <c r="K30" i="1"/>
  <c r="L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31" i="1"/>
  <c r="C31" i="1"/>
  <c r="D31" i="1"/>
  <c r="E31" i="1"/>
  <c r="F31" i="1"/>
  <c r="G31" i="1"/>
  <c r="H31" i="1"/>
  <c r="I31" i="1"/>
  <c r="J31" i="1"/>
  <c r="K31" i="1"/>
  <c r="L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32" i="1"/>
  <c r="C32" i="1"/>
  <c r="D32" i="1"/>
  <c r="E32" i="1"/>
  <c r="F32" i="1"/>
  <c r="G32" i="1"/>
  <c r="H32" i="1"/>
  <c r="I32" i="1"/>
  <c r="J32" i="1"/>
  <c r="K32" i="1"/>
  <c r="L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AQ32" i="1"/>
  <c r="AR32" i="1"/>
  <c r="AS32" i="1"/>
  <c r="AT32" i="1"/>
  <c r="AU32" i="1"/>
  <c r="AV32" i="1"/>
  <c r="AW32" i="1"/>
  <c r="AX32" i="1"/>
  <c r="AY32" i="1"/>
  <c r="AZ32" i="1"/>
  <c r="BA32" i="1"/>
  <c r="B33" i="1"/>
  <c r="C33" i="1"/>
  <c r="D33" i="1"/>
  <c r="E33" i="1"/>
  <c r="F33" i="1"/>
  <c r="G33" i="1"/>
  <c r="H33" i="1"/>
  <c r="I33" i="1"/>
  <c r="J33" i="1"/>
  <c r="K33" i="1"/>
  <c r="L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34" i="1"/>
  <c r="C34" i="1"/>
  <c r="D34" i="1"/>
  <c r="E34" i="1"/>
  <c r="F34" i="1"/>
  <c r="G34" i="1"/>
  <c r="H34" i="1"/>
  <c r="I34" i="1"/>
  <c r="J34" i="1"/>
  <c r="K34" i="1"/>
  <c r="L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35" i="1"/>
  <c r="C35" i="1"/>
  <c r="D35" i="1"/>
  <c r="E35" i="1"/>
  <c r="F35" i="1"/>
  <c r="G35" i="1"/>
  <c r="H35" i="1"/>
  <c r="I35" i="1"/>
  <c r="J35" i="1"/>
  <c r="K35" i="1"/>
  <c r="L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AQ35" i="1"/>
  <c r="AR35" i="1"/>
  <c r="AS35" i="1"/>
  <c r="AT35" i="1"/>
  <c r="AU35" i="1"/>
  <c r="AV35" i="1"/>
  <c r="AW35" i="1"/>
  <c r="AX35" i="1"/>
  <c r="AY35" i="1"/>
  <c r="AZ35" i="1"/>
  <c r="BA35" i="1"/>
  <c r="B36" i="1"/>
  <c r="C36" i="1"/>
  <c r="D36" i="1"/>
  <c r="E36" i="1"/>
  <c r="F36" i="1"/>
  <c r="G36" i="1"/>
  <c r="H36" i="1"/>
  <c r="I36" i="1"/>
  <c r="J36" i="1"/>
  <c r="K36" i="1"/>
  <c r="L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37" i="1"/>
  <c r="C37" i="1"/>
  <c r="D37" i="1"/>
  <c r="E37" i="1"/>
  <c r="F37" i="1"/>
  <c r="G37" i="1"/>
  <c r="H37" i="1"/>
  <c r="I37" i="1"/>
  <c r="J37" i="1"/>
  <c r="K37" i="1"/>
  <c r="L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38" i="1"/>
  <c r="C38" i="1"/>
  <c r="D38" i="1"/>
  <c r="E38" i="1"/>
  <c r="F38" i="1"/>
  <c r="G38" i="1"/>
  <c r="H38" i="1"/>
  <c r="I38" i="1"/>
  <c r="J38" i="1"/>
  <c r="K38" i="1"/>
  <c r="L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39" i="1"/>
  <c r="C39" i="1"/>
  <c r="D39" i="1"/>
  <c r="E39" i="1"/>
  <c r="F39" i="1"/>
  <c r="G39" i="1"/>
  <c r="H39" i="1"/>
  <c r="I39" i="1"/>
  <c r="J39" i="1"/>
  <c r="K39" i="1"/>
  <c r="L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40" i="1"/>
  <c r="C40" i="1"/>
  <c r="D40" i="1"/>
  <c r="E40" i="1"/>
  <c r="F40" i="1"/>
  <c r="G40" i="1"/>
  <c r="H40" i="1"/>
  <c r="I40" i="1"/>
  <c r="J40" i="1"/>
  <c r="K40" i="1"/>
  <c r="L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41" i="1"/>
  <c r="C41" i="1"/>
  <c r="D41" i="1"/>
  <c r="E41" i="1"/>
  <c r="F41" i="1"/>
  <c r="G41" i="1"/>
  <c r="H41" i="1"/>
  <c r="I41" i="1"/>
  <c r="J41" i="1"/>
  <c r="K41" i="1"/>
  <c r="L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AI41" i="1"/>
  <c r="AJ41" i="1"/>
  <c r="AK41" i="1"/>
  <c r="AL41" i="1"/>
  <c r="AM41" i="1"/>
  <c r="AN41" i="1"/>
  <c r="AO41" i="1"/>
  <c r="AP41" i="1"/>
  <c r="AQ41" i="1"/>
  <c r="AR41" i="1"/>
  <c r="AS41" i="1"/>
  <c r="AT41" i="1"/>
  <c r="AU41" i="1"/>
  <c r="AV41" i="1"/>
  <c r="AW41" i="1"/>
  <c r="AX41" i="1"/>
  <c r="AY41" i="1"/>
  <c r="AZ41" i="1"/>
  <c r="BA41" i="1"/>
  <c r="B42" i="1"/>
  <c r="C42" i="1"/>
  <c r="D42" i="1"/>
  <c r="E42" i="1"/>
  <c r="F42" i="1"/>
  <c r="G42" i="1"/>
  <c r="H42" i="1"/>
  <c r="I42" i="1"/>
  <c r="J42" i="1"/>
  <c r="K42" i="1"/>
  <c r="L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43" i="1"/>
  <c r="C43" i="1"/>
  <c r="D43" i="1"/>
  <c r="E43" i="1"/>
  <c r="F43" i="1"/>
  <c r="G43" i="1"/>
  <c r="H43" i="1"/>
  <c r="I43" i="1"/>
  <c r="J43" i="1"/>
  <c r="K43" i="1"/>
  <c r="L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</calcChain>
</file>

<file path=xl/sharedStrings.xml><?xml version="1.0" encoding="utf-8"?>
<sst xmlns="http://schemas.openxmlformats.org/spreadsheetml/2006/main" count="119" uniqueCount="119">
  <si>
    <t>Asset</t>
  </si>
  <si>
    <t>Data</t>
  </si>
  <si>
    <t>Hora</t>
  </si>
  <si>
    <t>Último</t>
  </si>
  <si>
    <t>Abertura</t>
  </si>
  <si>
    <t>Máximo</t>
  </si>
  <si>
    <t>Mínimo</t>
  </si>
  <si>
    <t>Fechamento Anterior</t>
  </si>
  <si>
    <t>Strike</t>
  </si>
  <si>
    <t>Variação</t>
  </si>
  <si>
    <t>Variação(pts)</t>
  </si>
  <si>
    <t>Média</t>
  </si>
  <si>
    <t>Nome do Ativo</t>
  </si>
  <si>
    <t>Negócios</t>
  </si>
  <si>
    <t>QUL</t>
  </si>
  <si>
    <t>Quantidade</t>
  </si>
  <si>
    <t>Volume</t>
  </si>
  <si>
    <t>Of. Compra</t>
  </si>
  <si>
    <t>Of. Venda</t>
  </si>
  <si>
    <t>VOC</t>
  </si>
  <si>
    <t>VOV</t>
  </si>
  <si>
    <t>Ajuste</t>
  </si>
  <si>
    <t>Aj. Anterior</t>
  </si>
  <si>
    <t>Preço Teórico</t>
  </si>
  <si>
    <t>Qtd. Teórica</t>
  </si>
  <si>
    <t>Volume Projetado</t>
  </si>
  <si>
    <t>Semana</t>
  </si>
  <si>
    <t>Mês</t>
  </si>
  <si>
    <t>3 meses</t>
  </si>
  <si>
    <t>6 meses</t>
  </si>
  <si>
    <t>12 meses</t>
  </si>
  <si>
    <t>Ano</t>
  </si>
  <si>
    <t>Trimestre</t>
  </si>
  <si>
    <t>Semestre</t>
  </si>
  <si>
    <t>Vencimento</t>
  </si>
  <si>
    <t>Validade</t>
  </si>
  <si>
    <t>Cont. Abertos</t>
  </si>
  <si>
    <t>Estado Atual</t>
  </si>
  <si>
    <t>Black Scholes</t>
  </si>
  <si>
    <t>Volt. Implícita</t>
  </si>
  <si>
    <t>Delta</t>
  </si>
  <si>
    <t>Gama</t>
  </si>
  <si>
    <t>Theta</t>
  </si>
  <si>
    <t>Rho</t>
  </si>
  <si>
    <t>Vega</t>
  </si>
  <si>
    <t>VI Ask</t>
  </si>
  <si>
    <t>VI Bid</t>
  </si>
  <si>
    <t>Dobrar %</t>
  </si>
  <si>
    <t>VI / VH</t>
  </si>
  <si>
    <t>Valor Intrínseco</t>
  </si>
  <si>
    <t>Valor Extrínseco</t>
  </si>
  <si>
    <t>VWAP</t>
  </si>
  <si>
    <t>WDOFUT</t>
  </si>
  <si>
    <t>Dolar Mini</t>
  </si>
  <si>
    <t>WINFUT</t>
  </si>
  <si>
    <t>Ibovespa Mini</t>
  </si>
  <si>
    <t>BITFUT</t>
  </si>
  <si>
    <t>Futuro De Bitcoin</t>
  </si>
  <si>
    <t>EMBR3</t>
  </si>
  <si>
    <t>Embraer ON NM</t>
  </si>
  <si>
    <t>VIVT3</t>
  </si>
  <si>
    <t>Telef Brasil ON</t>
  </si>
  <si>
    <t>ITSA4</t>
  </si>
  <si>
    <t>CYRE3</t>
  </si>
  <si>
    <t>Cyrela Realt ON NM</t>
  </si>
  <si>
    <t>CSNA3</t>
  </si>
  <si>
    <t>Sid Nacional ON</t>
  </si>
  <si>
    <t>LREN3</t>
  </si>
  <si>
    <t>Lojas Renner ON NM</t>
  </si>
  <si>
    <t>CIEL3</t>
  </si>
  <si>
    <t>Cielo ON NM</t>
  </si>
  <si>
    <t>ECOR3</t>
  </si>
  <si>
    <t>Ecorodovias ON NM</t>
  </si>
  <si>
    <t>GFSA3</t>
  </si>
  <si>
    <t>Gafisa ON NM</t>
  </si>
  <si>
    <t>MRVE3</t>
  </si>
  <si>
    <t>Mrv ON NM</t>
  </si>
  <si>
    <t>BBDC4</t>
  </si>
  <si>
    <t>RENT3</t>
  </si>
  <si>
    <t>Localiza ON NM</t>
  </si>
  <si>
    <t>BRAP4</t>
  </si>
  <si>
    <t>Bradespar PN N1</t>
  </si>
  <si>
    <t>BBAS3</t>
  </si>
  <si>
    <t>VALE3</t>
  </si>
  <si>
    <t>Vale ON NM</t>
  </si>
  <si>
    <t>MGLU3</t>
  </si>
  <si>
    <t>Magaz Luiza ON NM</t>
  </si>
  <si>
    <t>ITUB4</t>
  </si>
  <si>
    <t>SUZB3</t>
  </si>
  <si>
    <t>Suzano S.A. ON NM</t>
  </si>
  <si>
    <t>CMIG4</t>
  </si>
  <si>
    <t>Cemig PN N1</t>
  </si>
  <si>
    <t>BRFS3</t>
  </si>
  <si>
    <t>Brf Sa ON NM</t>
  </si>
  <si>
    <t>PETR4</t>
  </si>
  <si>
    <t>Petrobras PN N2</t>
  </si>
  <si>
    <t>IBOV</t>
  </si>
  <si>
    <t>Ibovespa</t>
  </si>
  <si>
    <t>USIM5</t>
  </si>
  <si>
    <t>Usiminas PNA N1</t>
  </si>
  <si>
    <t>GGBR4</t>
  </si>
  <si>
    <t>ABEV3</t>
  </si>
  <si>
    <t>Ambev S/A ON</t>
  </si>
  <si>
    <t>GOAU4</t>
  </si>
  <si>
    <t>B3SA3</t>
  </si>
  <si>
    <t>B3 ON NM</t>
  </si>
  <si>
    <t>psicotrade</t>
  </si>
  <si>
    <t>DOLPT</t>
  </si>
  <si>
    <t>Dolar Ptax</t>
  </si>
  <si>
    <t>DOLFUT</t>
  </si>
  <si>
    <t>Dolar Comercial Futuro</t>
  </si>
  <si>
    <t>Gerdau PN ED N1</t>
  </si>
  <si>
    <t>Gerdau Met PN ED N1</t>
  </si>
  <si>
    <t>Itausa PN N1</t>
  </si>
  <si>
    <t>Bradesco PN N1</t>
  </si>
  <si>
    <t>Brasil ON NM</t>
  </si>
  <si>
    <t>Itauunibanco PN N1</t>
  </si>
  <si>
    <t>INDFUT</t>
  </si>
  <si>
    <t>Indice Bovespa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</si>
</sst>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trading.rtdserver">
      <tp t="s">
        <v>-</v>
        <stp/>
        <stp>BITFUT_F_0</stp>
        <stp>BLACK</stp>
        <tr r="AM43" s="1"/>
      </tp>
      <tp t="s">
        <v>-</v>
        <stp/>
        <stp>WDOFUT_F_0</stp>
        <stp>DELTA</stp>
        <tr r="AO41" s="1"/>
      </tp>
      <tp t="s">
        <v>-</v>
        <stp/>
        <stp>WINFUT_F_0</stp>
        <stp>BLACK</stp>
        <tr r="AM42" s="1"/>
      </tp>
      <tp>
        <v>-4.9546819762137009</v>
        <stp/>
        <stp>WDOFUT_F_0</stp>
        <stp>SEMES</stp>
        <tr r="AH41" s="1"/>
      </tp>
      <tp t="s">
        <v>-</v>
        <stp/>
        <stp>DOLFUT_F_0</stp>
        <stp>THETA</stp>
        <tr r="AQ33" s="1"/>
      </tp>
      <tp>
        <v>21.643003916346256</v>
        <stp/>
        <stp>B3SA3_B_0</stp>
        <stp>3M</stp>
        <tr r="AC40" s="1"/>
      </tp>
      <tp>
        <v>33.248631436951968</v>
        <stp/>
        <stp>B3SA3_B_0</stp>
        <stp>6M</stp>
        <tr r="AD40" s="1"/>
      </tp>
      <tp t="s">
        <v>17,24</v>
        <stp/>
        <stp>B3SA3_B_0</stp>
        <stp>67</stp>
        <tr r="BA40" s="1"/>
      </tp>
      <tp t="s">
        <v>-</v>
        <stp/>
        <stp>INDFUT_F_0</stp>
        <stp>THETA</stp>
        <tr r="AQ36" s="1"/>
      </tp>
      <tp t="s">
        <v>-</v>
        <stp/>
        <stp>WINFUT_F_0</stp>
        <stp>THETA</stp>
        <tr r="AQ42" s="1"/>
      </tp>
      <tp t="s">
        <v>-</v>
        <stp/>
        <stp>BITFUT_F_0</stp>
        <stp>THETA</stp>
        <tr r="AQ43" s="1"/>
      </tp>
      <tp t="s">
        <v>-</v>
        <stp/>
        <stp>DOLFUT_F_0</stp>
        <stp>BLACK</stp>
        <tr r="AM33" s="1"/>
      </tp>
      <tp t="s">
        <v>-</v>
        <stp/>
        <stp>INDFUT_F_0</stp>
        <stp>BLACK</stp>
        <tr r="AM36" s="1"/>
      </tp>
      <tp t="s">
        <v>-</v>
        <stp/>
        <stp>WDOFUT_F_0</stp>
        <stp>THETA</stp>
        <tr r="AQ41" s="1"/>
      </tp>
      <tp t="s">
        <v>-</v>
        <stp/>
        <stp>INDFUT_F_0</stp>
        <stp>DELTA</stp>
        <tr r="AO36" s="1"/>
      </tp>
      <tp>
        <v>-4.8725851088347465</v>
        <stp/>
        <stp>DOLFUT_F_0</stp>
        <stp>SEMES</stp>
        <tr r="AH33" s="1"/>
      </tp>
      <tp t="s">
        <v>-</v>
        <stp/>
        <stp>DOLFUT_F_0</stp>
        <stp>DELTA</stp>
        <tr r="AO33" s="1"/>
      </tp>
      <tp>
        <v>8.1668394135599023</v>
        <stp/>
        <stp>INDFUT_F_0</stp>
        <stp>SEMES</stp>
        <tr r="AH36" s="1"/>
      </tp>
      <tp>
        <v>-24.38080940064409</v>
        <stp/>
        <stp>BITFUT_F_0</stp>
        <stp>SEMES</stp>
        <tr r="AH43" s="1"/>
      </tp>
      <tp>
        <v>7.9128249238037105</v>
        <stp/>
        <stp>WINFUT_F_0</stp>
        <stp>SEMES</stp>
        <tr r="AH42" s="1"/>
      </tp>
      <tp t="s">
        <v>-</v>
        <stp/>
        <stp>WINFUT_F_0</stp>
        <stp>DELTA</stp>
        <tr r="AO42" s="1"/>
      </tp>
      <tp t="s">
        <v>-</v>
        <stp/>
        <stp>BITFUT_F_0</stp>
        <stp>DELTA</stp>
        <tr r="AO43" s="1"/>
      </tp>
      <tp t="s">
        <v>-</v>
        <stp/>
        <stp>WDOFUT_F_0</stp>
        <stp>BLACK</stp>
        <tr r="AM41" s="1"/>
      </tp>
      <tp t="s">
        <v>-</v>
        <stp/>
        <stp>WINFUT_F_0</stp>
        <stp>IMPVT</stp>
        <tr r="AN42" s="1"/>
      </tp>
      <tp t="s">
        <v>-</v>
        <stp/>
        <stp>BITFUT_F_0</stp>
        <stp>IMPVT</stp>
        <tr r="AN43" s="1"/>
      </tp>
      <tp t="s">
        <v>-</v>
        <stp/>
        <stp>INDFUT_F_0</stp>
        <stp>IMPVT</stp>
        <tr r="AN36" s="1"/>
      </tp>
      <tp t="s">
        <v>-</v>
        <stp/>
        <stp>DOLFUT_F_0</stp>
        <stp>IMPVT</stp>
        <tr r="AN33" s="1"/>
      </tp>
      <tp t="s">
        <v>-</v>
        <stp/>
        <stp>WDOFUT_F_0</stp>
        <stp>IMPVT</stp>
        <tr r="AN41" s="1"/>
      </tp>
      <tp t="s">
        <v>-</v>
        <stp/>
        <stp>WINFUT_F_0</stp>
        <stp>VEGA</stp>
        <tr r="AS42" s="1"/>
      </tp>
      <tp t="s">
        <v>-</v>
        <stp/>
        <stp>WDOFUT_F_0</stp>
        <stp>VEGA</stp>
        <tr r="AS41" s="1"/>
      </tp>
      <tp t="s">
        <v>-</v>
        <stp/>
        <stp>WDOFUT_F_0</stp>
        <stp>VEXT</stp>
        <tr r="AY41" s="1"/>
      </tp>
      <tp t="s">
        <v>-</v>
        <stp/>
        <stp>WINFUT_F_0</stp>
        <stp>VEXT</stp>
        <tr r="AY42" s="1"/>
      </tp>
      <tp t="s">
        <v>0,00 0,00</v>
        <stp/>
        <stp>INDFUT_F_0</stp>
        <stp>101_psicotrade</stp>
        <tr r="AZ36" s="1"/>
      </tp>
      <tp t="s">
        <v>-</v>
        <stp/>
        <stp>BBAS3_B_0</stp>
        <stp>VEXT</stp>
        <tr r="AY25" s="1"/>
      </tp>
      <tp t="s">
        <v>-</v>
        <stp/>
        <stp>BRFS3_B_0</stp>
        <stp>VEXT</stp>
        <tr r="AY31" s="1"/>
      </tp>
      <tp>
        <v>15.11</v>
        <stp/>
        <stp>ABEV3_B_0</stp>
        <stp>OCP</stp>
        <tr r="R38" s="1"/>
      </tp>
      <tp t="s">
        <v>13/03/2026</v>
        <stp/>
        <stp>RENT3_B_0</stp>
        <stp>DAT</stp>
        <tr r="B23" s="1"/>
      </tp>
      <tp>
        <v>5.2534999999999998</v>
        <stp/>
        <stp>DOLPT_E_0</stp>
        <stp>ABE</stp>
        <tr r="E13" s="1"/>
      </tp>
      <tp>
        <v>9.4</v>
        <stp/>
        <stp>MGLU3_B_0</stp>
        <stp>FEC</stp>
        <tr r="H27" s="1"/>
      </tp>
      <tp>
        <v>0</v>
        <stp/>
        <stp>SUZB3_B_0</stp>
        <stp>PRT</stp>
        <tr r="X29" s="1"/>
      </tp>
      <tp t="s">
        <v>-</v>
        <stp/>
        <stp>PETR4_B_0</stp>
        <stp>DELTA</stp>
        <tr r="AO32" s="1"/>
      </tp>
      <tp>
        <v>-4.5130684503253402</v>
        <stp/>
        <stp>DOLPT_E_0</stp>
        <stp>ANO</stp>
        <tr r="AF13" s="1"/>
      </tp>
      <tp t="s">
        <v>15:11:38</v>
        <stp/>
        <stp>GGBR4_B_0</stp>
        <stp>HOR</stp>
        <tr r="C37" s="1"/>
      </tp>
      <tp t="s">
        <v>00:00:00</v>
        <stp/>
        <stp>EMBR3_B_0</stp>
        <stp>HOR</stp>
        <tr r="C11" s="1"/>
      </tp>
      <tp>
        <v>0</v>
        <stp/>
        <stp>CIEL3_B_0</stp>
        <stp>OVD</stp>
        <tr r="S18" s="1"/>
      </tp>
      <tp>
        <v>0</v>
        <stp/>
        <stp>DOLPT_E_0</stp>
        <stp>AJU</stp>
        <tr r="V13" s="1"/>
      </tp>
      <tp>
        <v>0</v>
        <stp/>
        <stp>DOLPT_E_0</stp>
        <stp>AJA</stp>
        <tr r="W13" s="1"/>
      </tp>
      <tp>
        <v>15.11</v>
        <stp/>
        <stp>LREN3_B_0</stp>
        <stp>OVD</stp>
        <tr r="S17" s="1"/>
      </tp>
      <tp>
        <v>23253</v>
        <stp/>
        <stp>BBDC4_B_0</stp>
        <stp>NEG</stp>
        <tr r="N22" s="1"/>
      </tp>
      <tp>
        <v>0</v>
        <stp/>
        <stp>CMIG4_B_0</stp>
        <stp>CAB</stp>
        <tr r="AK30" s="1"/>
      </tp>
      <tp>
        <v>0</v>
        <stp/>
        <stp>SUZB3_B_0</stp>
        <stp>PEX</stp>
        <tr r="I29" s="1"/>
      </tp>
      <tp>
        <v>9.3802112284602348</v>
        <stp/>
        <stp>VALE3_B_0</stp>
        <stp>SEMES</stp>
        <tr r="AH26" s="1"/>
      </tp>
      <tp t="s">
        <v>13/03/2026</v>
        <stp/>
        <stp>CSNA3_B_0</stp>
        <stp>DAT</stp>
        <tr r="B16" s="1"/>
      </tp>
      <tp>
        <v>79.240000000000009</v>
        <stp/>
        <stp>VALE3_B_0</stp>
        <stp>FEC</stp>
        <tr r="H26" s="1"/>
      </tp>
      <tp>
        <v>15.120000000000001</v>
        <stp/>
        <stp>ABEV3_B_0</stp>
        <stp>OVD</stp>
        <tr r="S38" s="1"/>
      </tp>
      <tp t="s">
        <v>Aberto</v>
        <stp/>
        <stp>ECOR3_B_0</stp>
        <stp>EST</stp>
        <tr r="AL19" s="1"/>
      </tp>
      <tp>
        <v>0</v>
        <stp/>
        <stp>CIEL3_B_0</stp>
        <stp>OCP</stp>
        <tr r="R18" s="1"/>
      </tp>
      <tp>
        <v>0</v>
        <stp/>
        <stp>USIM5_B_0</stp>
        <stp>CAB</stp>
        <tr r="AK35" s="1"/>
      </tp>
      <tp>
        <v>24.092165452184105</v>
        <stp/>
        <stp>VIVT3_B_0</stp>
        <stp>SEMES</stp>
        <tr r="AH12" s="1"/>
      </tp>
      <tp>
        <v>15.1</v>
        <stp/>
        <stp>LREN3_B_0</stp>
        <stp>OCP</stp>
        <tr r="R17" s="1"/>
      </tp>
      <tp t="s">
        <v>-</v>
        <stp/>
        <stp>BRFS3_B_0</stp>
        <stp>VEGA</stp>
        <tr r="AS31" s="1"/>
      </tp>
      <tp t="s">
        <v>-</v>
        <stp/>
        <stp>BBAS3_B_0</stp>
        <stp>VEGA</stp>
        <tr r="AS25" s="1"/>
      </tp>
      <tp t="s">
        <v>-</v>
        <stp/>
        <stp>MGLU3_B_0</stp>
        <stp>DOBRAR</stp>
        <tr r="AV27" s="1"/>
      </tp>
      <tp>
        <v>-1.4699999999999989</v>
        <stp/>
        <stp>RENT3_B_0</stp>
        <stp>VARPTS</stp>
        <tr r="K23" s="1"/>
      </tp>
      <tp t="s">
        <v>-</v>
        <stp/>
        <stp>GGBR4_B_0</stp>
        <stp>DOBRAR</stp>
        <tr r="AV37" s="1"/>
      </tp>
      <tp>
        <v>-0.32000000000000028</v>
        <stp/>
        <stp>PETR4_B_0</stp>
        <stp>VARPTS</stp>
        <tr r="K32" s="1"/>
      </tp>
      <tp>
        <v>0</v>
        <stp/>
        <stp>BRFS3_B_0</stp>
        <stp>MES</stp>
        <tr r="AB31" s="1"/>
      </tp>
      <tp>
        <v>0</v>
        <stp/>
        <stp>SUZB3_B_0</stp>
        <stp>QTE</stp>
        <tr r="Y29" s="1"/>
      </tp>
      <tp>
        <v>1434100</v>
        <stp/>
        <stp>SUZB3_B_0</stp>
        <stp>QTT</stp>
        <tr r="P29" s="1"/>
      </tp>
      <tp>
        <v>0</v>
        <stp/>
        <stp>BRFS3_B_0</stp>
        <stp>MED</stp>
        <tr r="L31" s="1"/>
      </tp>
      <tp>
        <v>100</v>
        <stp/>
        <stp>SUZB3_B_0</stp>
        <stp>QUL</stp>
        <tr r="O29" s="1"/>
      </tp>
      <tp t="s">
        <v>-</v>
        <stp/>
        <stp>GGBR4_B_0</stp>
        <stp>VEXT</stp>
        <tr r="AY37" s="1"/>
      </tp>
      <tp>
        <v>19.02</v>
        <stp/>
        <stp>BBDC4_B_0</stp>
        <stp>OVD</stp>
        <tr r="S22" s="1"/>
      </tp>
      <tp t="s">
        <v>-</v>
        <stp/>
        <stp>VALE3_B_0</stp>
        <stp>DELTA</stp>
        <tr r="AO26" s="1"/>
      </tp>
      <tp>
        <v>0</v>
        <stp/>
        <stp>BRFS3_B_0</stp>
        <stp>MAX</stp>
        <tr r="F31" s="1"/>
      </tp>
      <tp t="s">
        <v>Aberto</v>
        <stp/>
        <stp>CSNA3_B_0</stp>
        <stp>EST</stp>
        <tr r="AL16" s="1"/>
      </tp>
      <tp>
        <v>9.3802112284602348</v>
        <stp/>
        <stp>VALE3_B_0</stp>
        <stp>TRIM</stp>
        <tr r="AG26" s="1"/>
      </tp>
      <tp t="s">
        <v>13/03/2026</v>
        <stp/>
        <stp>ECOR3_B_0</stp>
        <stp>DAT</stp>
        <tr r="B19" s="1"/>
      </tp>
      <tp>
        <v>14878</v>
        <stp/>
        <stp>ABEV3_B_0</stp>
        <stp>NEG</stp>
        <tr r="N38" s="1"/>
      </tp>
      <tp t="s">
        <v>-</v>
        <stp/>
        <stp>ECOR3_B_0</stp>
        <stp>VEXT</stp>
        <tr r="AY19" s="1"/>
      </tp>
      <tp t="s">
        <v>-</v>
        <stp/>
        <stp>EMBR3_B_0</stp>
        <stp>VEXT</stp>
        <tr r="AY11" s="1"/>
      </tp>
      <tp t="s">
        <v>-</v>
        <stp/>
        <stp>PETR4_B_0</stp>
        <stp>VEGA</stp>
        <tr r="AS32" s="1"/>
      </tp>
      <tp t="s">
        <v>-</v>
        <stp/>
        <stp>VIVT3_B_0</stp>
        <stp>DELTA</stp>
        <tr r="AO12" s="1"/>
      </tp>
      <tp t="s">
        <v>0,00 0,00</v>
        <stp/>
        <stp>VALE3_B_0</stp>
        <stp>101_psicotrade</stp>
        <tr r="AZ26" s="1"/>
      </tp>
      <tp>
        <v>0</v>
        <stp/>
        <stp>BRFS3_B_0</stp>
        <stp>MIN</stp>
        <tr r="G31" s="1"/>
      </tp>
      <tp>
        <v>7.2310688969658008</v>
        <stp/>
        <stp>CYRE3_B_0</stp>
        <stp>TRIM</stp>
        <tr r="AG15" s="1"/>
      </tp>
      <tp t="s">
        <v>Aberto</v>
        <stp/>
        <stp>RENT3_B_0</stp>
        <stp>EST</stp>
        <tr r="AL23" s="1"/>
      </tp>
      <tp>
        <v>177736.18</v>
        <stp/>
        <stp>IBOV_B_0</stp>
        <stp>MIN</stp>
        <tr r="G34" s="1"/>
      </tp>
      <tp t="s">
        <v>-</v>
        <stp/>
        <stp>PETR4_B_0</stp>
        <stp>VEXT</stp>
        <tr r="AY32" s="1"/>
      </tp>
      <tp>
        <v>19.010000000000002</v>
        <stp/>
        <stp>BBDC4_B_0</stp>
        <stp>OCP</stp>
        <tr r="R22" s="1"/>
      </tp>
      <tp>
        <v>44.970798182998053</v>
        <stp/>
        <stp>PETR4_B_0</stp>
        <stp>SEMES</stp>
        <tr r="AH32" s="1"/>
      </tp>
      <tp t="s">
        <v>-</v>
        <stp/>
        <stp>ABEV3_B_0</stp>
        <stp>GAMA</stp>
        <tr r="AP38" s="1"/>
      </tp>
      <tp t="s">
        <v>-</v>
        <stp/>
        <stp>ECOR3_B_0</stp>
        <stp>VEGA</stp>
        <tr r="AS19" s="1"/>
      </tp>
      <tp t="s">
        <v>-</v>
        <stp/>
        <stp>EMBR3_B_0</stp>
        <stp>VEGA</stp>
        <tr r="AS11" s="1"/>
      </tp>
      <tp>
        <v>180995.79</v>
        <stp/>
        <stp>IBOV_B_0</stp>
        <stp>MAX</stp>
        <tr r="F34" s="1"/>
      </tp>
      <tp t="s">
        <v>-</v>
        <stp/>
        <stp>GGBR4_B_0</stp>
        <stp>VEGA</stp>
        <tr r="AS37" s="1"/>
      </tp>
      <tp>
        <v>19827</v>
        <stp/>
        <stp>LREN3_B_0</stp>
        <stp>NEG</stp>
        <tr r="N17" s="1"/>
      </tp>
      <tp>
        <v>179059.92499999999</v>
        <stp/>
        <stp>IBOV_B_0</stp>
        <stp>MED</stp>
        <tr r="L34" s="1"/>
      </tp>
      <tp>
        <v>-5.5959791294929397</v>
        <stp/>
        <stp>IBOV_B_0</stp>
        <stp>MES</stp>
        <tr r="AB34" s="1"/>
      </tp>
      <tp>
        <v>-1.1553273427471098</v>
        <stp/>
        <stp>MRVE3_B_0</stp>
        <stp>TRIM</stp>
        <tr r="AG21" s="1"/>
      </tp>
      <tp>
        <v>0</v>
        <stp/>
        <stp>CIEL3_B_0</stp>
        <stp>NEG</stp>
        <tr r="N18" s="1"/>
      </tp>
      <tp t="s">
        <v>-</v>
        <stp/>
        <stp>GFSA3_B_0</stp>
        <stp>DOBRAR</stp>
        <tr r="AV20" s="1"/>
      </tp>
      <tp>
        <v>-24.38080940064409</v>
        <stp/>
        <stp>BITFUT_F_0</stp>
        <stp>TRIM</stp>
        <tr r="AG43" s="1"/>
      </tp>
      <tp>
        <v>0</v>
        <stp/>
        <stp>BRFS3_B_0</stp>
        <stp>NEG</stp>
        <tr r="N31" s="1"/>
      </tp>
      <tp>
        <v>15.23</v>
        <stp/>
        <stp>ABEV3_B_0</stp>
        <stp>MAX</stp>
        <tr r="F38" s="1"/>
      </tp>
      <tp t="s">
        <v>0,00 0,00</v>
        <stp/>
        <stp>BBAS3_B_0</stp>
        <stp>101_psicotrade</stp>
        <tr r="AZ25" s="1"/>
      </tp>
      <tp t="s">
        <v>13/03/2026</v>
        <stp/>
        <stp>MGLU3_B_0</stp>
        <stp>DAT</stp>
        <tr r="B27" s="1"/>
      </tp>
      <tp t="s">
        <v>0,00 0,00</v>
        <stp/>
        <stp>BBDC4_B_0</stp>
        <stp>101_psicotrade</stp>
        <tr r="AZ22" s="1"/>
      </tp>
      <tp>
        <v>-7.1296865396435161</v>
        <stp/>
        <stp>ABEV3_B_0</stp>
        <stp>MES</stp>
        <tr r="AB38" s="1"/>
      </tp>
      <tp t="s">
        <v>0,00 0,00</v>
        <stp/>
        <stp>ABEV3_B_0</stp>
        <stp>101_psicotrade</stp>
        <tr r="AZ38" s="1"/>
      </tp>
      <tp>
        <v>15.128139083981091</v>
        <stp/>
        <stp>ABEV3_B_0</stp>
        <stp>MED</stp>
        <tr r="L38" s="1"/>
      </tp>
      <tp>
        <v>45.17</v>
        <stp/>
        <stp>RENT3_B_0</stp>
        <stp>FEC</stp>
        <tr r="H23" s="1"/>
      </tp>
      <tp>
        <v>0</v>
        <stp/>
        <stp>DOLPT_E_0</stp>
        <stp>CAB</stp>
        <tr r="AK13" s="1"/>
      </tp>
      <tp>
        <v>14.87</v>
        <stp/>
        <stp>ABEV3_B_0</stp>
        <stp>MIN</stp>
        <tr r="G38" s="1"/>
      </tp>
      <tp t="s">
        <v>15:11:39</v>
        <stp/>
        <stp>WINFUT_F_0</stp>
        <stp>HOR</stp>
        <tr r="C42" s="1"/>
      </tp>
      <tp t="s">
        <v>15:11:39</v>
        <stp/>
        <stp>WDOFUT_F_0</stp>
        <stp>HOR</stp>
        <tr r="C41" s="1"/>
      </tp>
      <tp>
        <v>0</v>
        <stp/>
        <stp>USIM5_B_0</stp>
        <stp>AJA</stp>
        <tr r="W35" s="1"/>
      </tp>
      <tp>
        <v>15</v>
        <stp/>
        <stp>LREN3_B_0</stp>
        <stp>MIN</stp>
        <tr r="G17" s="1"/>
      </tp>
      <tp>
        <v>0</v>
        <stp/>
        <stp>USIM5_B_0</stp>
        <stp>AJU</stp>
        <tr r="V35" s="1"/>
      </tp>
      <tp t="s">
        <v>13/03/2026</v>
        <stp/>
        <stp>VALE3_B_0</stp>
        <stp>DAT</stp>
        <tr r="B26" s="1"/>
      </tp>
      <tp>
        <v>6.1000000000000005</v>
        <stp/>
        <stp>CSNA3_B_0</stp>
        <stp>FEC</stp>
        <tr r="H16" s="1"/>
      </tp>
      <tp>
        <v>0</v>
        <stp/>
        <stp>CIEL3_B_0</stp>
        <stp>MIN</stp>
        <tr r="G18" s="1"/>
      </tp>
      <tp>
        <v>11.8</v>
        <stp/>
        <stp>CMIG4_B_0</stp>
        <stp>ABE</stp>
        <tr r="E30" s="1"/>
      </tp>
      <tp t="s">
        <v>15:11:35</v>
        <stp/>
        <stp>INDFUT_F_0</stp>
        <stp>HOR</stp>
        <tr r="C36" s="1"/>
      </tp>
      <tp>
        <v>7.3949579831932688</v>
        <stp/>
        <stp>USIM5_B_0</stp>
        <stp>ANO</stp>
        <tr r="AF35" s="1"/>
      </tp>
      <tp t="s">
        <v>-</v>
        <stp/>
        <stp>GOAU4_B_0</stp>
        <stp>GAMA</stp>
        <tr r="AP39" s="1"/>
      </tp>
      <tp t="s">
        <v>15:11:38</v>
        <stp/>
        <stp>DOLFUT_F_0</stp>
        <stp>HOR</stp>
        <tr r="C33" s="1"/>
      </tp>
      <tp>
        <v>6.49</v>
        <stp/>
        <stp>USIM5_B_0</stp>
        <stp>ABE</stp>
        <tr r="E35" s="1"/>
      </tp>
      <tp>
        <v>15.53</v>
        <stp/>
        <stp>LREN3_B_0</stp>
        <stp>MAX</stp>
        <tr r="F17" s="1"/>
      </tp>
      <tp>
        <v>0</v>
        <stp/>
        <stp>CIEL3_B_0</stp>
        <stp>MAX</stp>
        <tr r="F18" s="1"/>
      </tp>
      <tp>
        <v>0</v>
        <stp/>
        <stp>CMIG4_B_0</stp>
        <stp>AJU</stp>
        <tr r="V30" s="1"/>
      </tp>
      <tp t="s">
        <v>-</v>
        <stp/>
        <stp>MGLU3_B_0</stp>
        <stp>GAMA</stp>
        <tr r="AP27" s="1"/>
      </tp>
      <tp>
        <v>0</v>
        <stp/>
        <stp>CMIG4_B_0</stp>
        <stp>AJA</stp>
        <tr r="W30" s="1"/>
      </tp>
      <tp t="s">
        <v>-</v>
        <stp/>
        <stp>SUZB3_B_0</stp>
        <stp>RHO</stp>
        <tr r="AR29" s="1"/>
      </tp>
      <tp>
        <v>-3.0166880616174625</v>
        <stp/>
        <stp>LREN3_B_0</stp>
        <stp>MES</stp>
        <tr r="AB17" s="1"/>
      </tp>
      <tp>
        <v>15.231226470686339</v>
        <stp/>
        <stp>LREN3_B_0</stp>
        <stp>MED</stp>
        <tr r="L17" s="1"/>
      </tp>
      <tp>
        <v>1126435</v>
        <stp/>
        <stp>IBOV_B_0</stp>
        <stp>NEG</stp>
        <tr r="N34" s="1"/>
      </tp>
      <tp t="s">
        <v>15:11:30</v>
        <stp/>
        <stp>BITFUT_F_0</stp>
        <stp>HOR</stp>
        <tr r="C43" s="1"/>
      </tp>
      <tp>
        <v>0</v>
        <stp/>
        <stp>CIEL3_B_0</stp>
        <stp>MES</stp>
        <tr r="AB18" s="1"/>
      </tp>
      <tp>
        <v>5.4464285714285658</v>
        <stp/>
        <stp>CMIG4_B_0</stp>
        <stp>ANO</stp>
        <tr r="AF30" s="1"/>
      </tp>
      <tp>
        <v>0</v>
        <stp/>
        <stp>CIEL3_B_0</stp>
        <stp>MED</stp>
        <tr r="L18" s="1"/>
      </tp>
      <tp t="s">
        <v>-</v>
        <stp/>
        <stp>RENT3_B_0</stp>
        <stp>DOBRAR</stp>
        <tr r="AV23" s="1"/>
      </tp>
      <tp>
        <v>-0.14000000000000057</v>
        <stp/>
        <stp>MGLU3_B_0</stp>
        <stp>VARPTS</stp>
        <tr r="K27" s="1"/>
      </tp>
      <tp>
        <v>-0.20000000000000284</v>
        <stp/>
        <stp>GGBR4_B_0</stp>
        <stp>VARPTS</stp>
        <tr r="K37" s="1"/>
      </tp>
      <tp t="s">
        <v>-</v>
        <stp/>
        <stp>PETR4_B_0</stp>
        <stp>DOBRAR</stp>
        <tr r="AV32" s="1"/>
      </tp>
      <tp t="s">
        <v>Aberto</v>
        <stp/>
        <stp>VALE3_B_0</stp>
        <stp>EST</stp>
        <tr r="AL26" s="1"/>
      </tp>
      <tp t="s">
        <v>-</v>
        <stp/>
        <stp>VIVT3_B_0</stp>
        <stp>GAMA</stp>
        <tr r="AP12" s="1"/>
      </tp>
      <tp>
        <v>9.16</v>
        <stp/>
        <stp>ECOR3_B_0</stp>
        <stp>FEC</stp>
        <tr r="H19" s="1"/>
      </tp>
      <tp t="s">
        <v>-</v>
        <stp/>
        <stp>RENT3_B_0</stp>
        <stp>GAMA</stp>
        <tr r="AP23" s="1"/>
      </tp>
      <tp>
        <v>0</v>
        <stp/>
        <stp>BRFS3_B_0</stp>
        <stp>OCP</stp>
        <tr r="R31" s="1"/>
      </tp>
      <tp t="s">
        <v>-</v>
        <stp/>
        <stp>BRAP4_B_0</stp>
        <stp>VEXT</stp>
        <tr r="AY24" s="1"/>
      </tp>
      <tp t="s">
        <v>15:11:39</v>
        <stp/>
        <stp>BRAP4_B_0</stp>
        <stp>HOR</stp>
        <tr r="C24" s="1"/>
      </tp>
      <tp t="s">
        <v>15:11:39</v>
        <stp/>
        <stp>BBAS3_B_0</stp>
        <stp>HOR</stp>
        <tr r="C25" s="1"/>
      </tp>
      <tp t="s">
        <v>15:11:39</v>
        <stp/>
        <stp>GOAU4_B_0</stp>
        <stp>HOR</stp>
        <tr r="C39" s="1"/>
      </tp>
      <tp>
        <v>0</v>
        <stp/>
        <stp>IBOV_B_0</stp>
        <stp>OVD</stp>
        <tr r="S34" s="1"/>
      </tp>
      <tp t="s">
        <v>0,00 0,00</v>
        <stp/>
        <stp>ECOR3_B_0</stp>
        <stp>101_psicotrade</stp>
        <tr r="AZ19" s="1"/>
      </tp>
      <tp t="s">
        <v>Aberto</v>
        <stp/>
        <stp>MGLU3_B_0</stp>
        <stp>EST</stp>
        <tr r="AL27" s="1"/>
      </tp>
      <tp>
        <v>-10.049730527730324</v>
        <stp/>
        <stp>BBDC4_B_0</stp>
        <stp>MES</stp>
        <tr r="AB22" s="1"/>
      </tp>
      <tp>
        <v>19.168124440613916</v>
        <stp/>
        <stp>BBDC4_B_0</stp>
        <stp>MED</stp>
        <tr r="L22" s="1"/>
      </tp>
      <tp>
        <v>-3.0225782957028469</v>
        <stp/>
        <stp>SUZB3_B_0</stp>
        <stp>SEM</stp>
        <tr r="AA29" s="1"/>
      </tp>
      <tp>
        <v>0</v>
        <stp/>
        <stp>BRFS3_B_0</stp>
        <stp>OVD</stp>
        <tr r="S31" s="1"/>
      </tp>
      <tp>
        <v>19.649999999999999</v>
        <stp/>
        <stp>BBDC4_B_0</stp>
        <stp>MAX</stp>
        <tr r="F22" s="1"/>
      </tp>
      <tp>
        <v>5.4464285714285658</v>
        <stp/>
        <stp>CMIG4_B_0</stp>
        <stp>TRIM</stp>
        <tr r="AG30" s="1"/>
      </tp>
      <tp t="s">
        <v>-</v>
        <stp/>
        <stp>BRAP4_B_0</stp>
        <stp>VEGA</stp>
        <tr r="AS24" s="1"/>
      </tp>
      <tp>
        <v>0</v>
        <stp/>
        <stp>IBOV_B_0</stp>
        <stp>OCP</stp>
        <tr r="R34" s="1"/>
      </tp>
      <tp>
        <v>18.940000000000001</v>
        <stp/>
        <stp>BBDC4_B_0</stp>
        <stp>MIN</stp>
        <tr r="G22" s="1"/>
      </tp>
      <tp t="s">
        <v>-</v>
        <stp/>
        <stp>DOLPT_E_0</stp>
        <stp>VEXT</stp>
        <tr r="AY13" s="1"/>
      </tp>
      <tp t="s">
        <v>-</v>
        <stp/>
        <stp>DOLPT_E_0</stp>
        <stp>VEGA</stp>
        <tr r="AS13" s="1"/>
      </tp>
      <tp>
        <v>-2.2204460492503131E-16</v>
        <stp/>
        <stp>GFSA3_B_0</stp>
        <stp>VARPTS</stp>
        <tr r="K20" s="1"/>
      </tp>
      <tp t="s">
        <v>-</v>
        <stp/>
        <stp>WDOFUT_F_0</stp>
        <stp>GAMA</stp>
        <tr r="AP41" s="1"/>
      </tp>
      <tp t="s">
        <v>-</v>
        <stp/>
        <stp>WINFUT_F_0</stp>
        <stp>GAMA</stp>
        <tr r="AP42" s="1"/>
      </tp>
      <tp>
        <v>-4.8725851088347465</v>
        <stp/>
        <stp>DOLFUT_F_0</stp>
        <stp>TRIM</stp>
        <tr r="AG33" s="1"/>
      </tp>
      <tp>
        <v>5762614</v>
        <stp/>
        <stp>WINFUT_F_0</stp>
        <stp>NEG</stp>
        <tr r="N42" s="1"/>
      </tp>
      <tp>
        <v>806683</v>
        <stp/>
        <stp>WDOFUT_F_0</stp>
        <stp>NEG</stp>
        <tr r="N41" s="1"/>
      </tp>
      <tp>
        <v>8.06</v>
        <stp/>
        <stp>GOAU4_B_0</stp>
        <stp>OCP</stp>
        <tr r="R39" s="1"/>
      </tp>
      <tp>
        <v>22.17</v>
        <stp/>
        <stp>BRAP4_B_0</stp>
        <stp>OCP</stp>
        <tr r="R24" s="1"/>
      </tp>
      <tp>
        <v>23.88</v>
        <stp/>
        <stp>BBAS3_B_0</stp>
        <stp>OCP</stp>
        <tr r="R25" s="1"/>
      </tp>
      <tp>
        <v>9.27</v>
        <stp/>
        <stp>ECOR3_B_0</stp>
        <stp>ABE</stp>
        <tr r="E19" s="1"/>
      </tp>
      <tp t="s">
        <v>00:00:00</v>
        <stp/>
        <stp>BRFS3_B_0</stp>
        <stp>HOR</stp>
        <tr r="C31" s="1"/>
      </tp>
      <tp>
        <v>-15</v>
        <stp/>
        <stp>ECOR3_B_0</stp>
        <stp>ANO</stp>
        <tr r="AF19" s="1"/>
      </tp>
      <tp>
        <v>0</v>
        <stp/>
        <stp>ECOR3_B_0</stp>
        <stp>AJU</stp>
        <tr r="V19" s="1"/>
      </tp>
      <tp>
        <v>0</v>
        <stp/>
        <stp>ECOR3_B_0</stp>
        <stp>AJA</stp>
        <tr r="W19" s="1"/>
      </tp>
      <tp>
        <v>22.19</v>
        <stp/>
        <stp>BRAP4_B_0</stp>
        <stp>OVD</stp>
        <tr r="S24" s="1"/>
      </tp>
      <tp t="s">
        <v>-</v>
        <stp/>
        <stp>USIM5_B_0</stp>
        <stp>DELTA</stp>
        <tr r="AO35" s="1"/>
      </tp>
      <tp>
        <v>25380</v>
        <stp/>
        <stp>DOLFUT_F_0</stp>
        <stp>NEG</stp>
        <tr r="N33" s="1"/>
      </tp>
      <tp>
        <v>23.900000000000002</v>
        <stp/>
        <stp>BBAS3_B_0</stp>
        <stp>OVD</stp>
        <tr r="S25" s="1"/>
      </tp>
      <tp t="s">
        <v>-</v>
        <stp/>
        <stp>BRFS3_B_0</stp>
        <stp>GAMA</stp>
        <tr r="AP31" s="1"/>
      </tp>
      <tp t="s">
        <v>-</v>
        <stp/>
        <stp>BBAS3_B_0</stp>
        <stp>GAMA</stp>
        <tr r="AP25" s="1"/>
      </tp>
      <tp>
        <v>84112</v>
        <stp/>
        <stp>BITFUT_F_0</stp>
        <stp>NEG</stp>
        <tr r="N43" s="1"/>
      </tp>
      <tp>
        <v>8.07</v>
        <stp/>
        <stp>GOAU4_B_0</stp>
        <stp>OVD</stp>
        <tr r="S39" s="1"/>
      </tp>
      <tp t="s">
        <v>Fechado</v>
        <stp/>
        <stp>DOLPT_E_0</stp>
        <stp>EST</stp>
        <tr r="AL13" s="1"/>
      </tp>
      <tp>
        <v>0.29837043837503457</v>
        <stp/>
        <stp>RENT3_B_0</stp>
        <stp>SEMES</stp>
        <tr r="AH23" s="1"/>
      </tp>
      <tp t="s">
        <v>15:11:30</v>
        <stp/>
        <stp>IBOV_B_0</stp>
        <stp>HOR</stp>
        <tr r="C34" s="1"/>
      </tp>
      <tp t="s">
        <v>-</v>
        <stp/>
        <stp>SUZB3_B_0</stp>
        <stp>DELTA</stp>
        <tr r="AO29" s="1"/>
      </tp>
      <tp>
        <v>11420</v>
        <stp/>
        <stp>INDFUT_F_0</stp>
        <stp>NEG</stp>
        <tr r="N36" s="1"/>
      </tp>
      <tp t="s">
        <v>-</v>
        <stp/>
        <stp>ECOR3_B_0</stp>
        <stp>DOBRAR</stp>
        <tr r="AV19" s="1"/>
      </tp>
      <tp>
        <v>-0.53000000000001535</v>
        <stp/>
        <stp>VALE3_B_0</stp>
        <stp>VARPTS</stp>
        <tr r="K26" s="1"/>
      </tp>
      <tp>
        <v>5322</v>
        <stp/>
        <stp>DOLFUT_F_0</stp>
        <stp>OVD</stp>
        <tr r="S33" s="1"/>
      </tp>
      <tp>
        <v>45.27</v>
        <stp/>
        <stp>RENT3_B_0</stp>
        <stp>ABE</stp>
        <tr r="E23" s="1"/>
      </tp>
      <tp>
        <v>22559</v>
        <stp/>
        <stp>BBAS3_B_0</stp>
        <stp>NEG</stp>
        <tr r="N25" s="1"/>
      </tp>
      <tp>
        <v>7.3949579831932688</v>
        <stp/>
        <stp>USIM5_B_0</stp>
        <stp>SEMES</stp>
        <tr r="AH35" s="1"/>
      </tp>
      <tp>
        <v>-14.601553744025001</v>
        <stp/>
        <stp>GGBR4_B_0</stp>
        <stp>MES</stp>
        <tr r="AB37" s="1"/>
      </tp>
      <tp>
        <v>0</v>
        <stp/>
        <stp>EMBR3_B_0</stp>
        <stp>MES</stp>
        <tr r="AB11" s="1"/>
      </tp>
      <tp t="s">
        <v>-</v>
        <stp/>
        <stp>PETR4_B_0</stp>
        <stp>GAMA</stp>
        <tr r="AP32" s="1"/>
      </tp>
      <tp>
        <v>0</v>
        <stp/>
        <stp>EMBR3_B_0</stp>
        <stp>MED</stp>
        <tr r="L11" s="1"/>
      </tp>
      <tp>
        <v>18.054657328359006</v>
        <stp/>
        <stp>GGBR4_B_0</stp>
        <stp>MED</stp>
        <tr r="L37" s="1"/>
      </tp>
      <tp t="s">
        <v>-</v>
        <stp/>
        <stp>ABEV3_B_0</stp>
        <stp>VEXT</stp>
        <tr r="AY38" s="1"/>
      </tp>
      <tp>
        <v>0</v>
        <stp/>
        <stp>MGLU3_B_0</stp>
        <stp>CAB</stp>
        <tr r="AK27" s="1"/>
      </tp>
      <tp>
        <v>3344</v>
        <stp/>
        <stp>BRAP4_B_0</stp>
        <stp>NEG</stp>
        <tr r="N24" s="1"/>
      </tp>
      <tp>
        <v>18.3</v>
        <stp/>
        <stp>GGBR4_B_0</stp>
        <stp>MAX</stp>
        <tr r="F37" s="1"/>
      </tp>
      <tp>
        <v>0</v>
        <stp/>
        <stp>EMBR3_B_0</stp>
        <stp>MAX</stp>
        <tr r="F11" s="1"/>
      </tp>
      <tp>
        <v>378440</v>
        <stp/>
        <stp>BITFUT_F_0</stp>
        <stp>OVD</stp>
        <tr r="S43" s="1"/>
      </tp>
      <tp>
        <v>180260</v>
        <stp/>
        <stp>WINFUT_F_0</stp>
        <stp>OCP</stp>
        <tr r="R42" s="1"/>
      </tp>
      <tp>
        <v>5321.5</v>
        <stp/>
        <stp>WDOFUT_F_0</stp>
        <stp>OCP</stp>
        <tr r="R41" s="1"/>
      </tp>
      <tp>
        <v>7622</v>
        <stp/>
        <stp>GOAU4_B_0</stp>
        <stp>NEG</stp>
        <tr r="N39" s="1"/>
      </tp>
      <tp>
        <v>3.5179786200194267</v>
        <stp/>
        <stp>SUZB3_B_0</stp>
        <stp>SEMES</stp>
        <tr r="AH29" s="1"/>
      </tp>
      <tp t="s">
        <v>13/03/2026</v>
        <stp/>
        <stp>DOLPT_E_0</stp>
        <stp>DAT</stp>
        <tr r="B13" s="1"/>
      </tp>
      <tp t="s">
        <v>-</v>
        <stp/>
        <stp>RENT3_B_0</stp>
        <stp>DELTA</stp>
        <tr r="AO23" s="1"/>
      </tp>
      <tp>
        <v>0</v>
        <stp/>
        <stp>RENT3_B_0</stp>
        <stp>AJA</stp>
        <tr r="W23" s="1"/>
      </tp>
      <tp>
        <v>0</v>
        <stp/>
        <stp>RENT3_B_0</stp>
        <stp>AJU</stp>
        <tr r="V23" s="1"/>
      </tp>
      <tp>
        <v>0.29837043837503457</v>
        <stp/>
        <stp>RENT3_B_0</stp>
        <stp>ANO</stp>
        <tr r="AF23" s="1"/>
      </tp>
      <tp>
        <v>180270</v>
        <stp/>
        <stp>INDFUT_F_0</stp>
        <stp>OVD</stp>
        <tr r="S36" s="1"/>
      </tp>
      <tp>
        <v>0</v>
        <stp/>
        <stp>EMBR3_B_0</stp>
        <stp>MIN</stp>
        <tr r="G11" s="1"/>
      </tp>
      <tp>
        <v>17.79</v>
        <stp/>
        <stp>GGBR4_B_0</stp>
        <stp>MIN</stp>
        <tr r="G37" s="1"/>
      </tp>
      <tp t="s">
        <v>0,00 0,00</v>
        <stp/>
        <stp>RENT3_B_0</stp>
        <stp>101_psicotrade</stp>
        <tr r="AZ23" s="1"/>
      </tp>
      <tp>
        <v>25.234030634057149</v>
        <stp/>
        <stp>B3SA3_B_0</stp>
        <stp>TRIM</stp>
        <tr r="AG40" s="1"/>
      </tp>
      <tp>
        <v>-36.129753914988818</v>
        <stp/>
        <stp>CSNA3_B_0</stp>
        <stp>TRIM</stp>
        <tr r="AG16" s="1"/>
      </tp>
      <tp>
        <v>0</v>
        <stp/>
        <stp>VALE3_B_0</stp>
        <stp>CAB</stp>
        <tr r="AK26" s="1"/>
      </tp>
      <tp>
        <v>180265</v>
        <stp/>
        <stp>WINFUT_F_0</stp>
        <stp>OVD</stp>
        <tr r="S42" s="1"/>
      </tp>
      <tp>
        <v>5322</v>
        <stp/>
        <stp>WDOFUT_F_0</stp>
        <stp>OVD</stp>
        <tr r="S41" s="1"/>
      </tp>
      <tp>
        <v>378380</v>
        <stp/>
        <stp>BITFUT_F_0</stp>
        <stp>OCP</stp>
        <tr r="R43" s="1"/>
      </tp>
      <tp t="s">
        <v>-</v>
        <stp/>
        <stp>ECOR3_B_0</stp>
        <stp>GAMA</stp>
        <tr r="AP19" s="1"/>
      </tp>
      <tp t="s">
        <v>-</v>
        <stp/>
        <stp>EMBR3_B_0</stp>
        <stp>GAMA</stp>
        <tr r="AP11" s="1"/>
      </tp>
      <tp t="s">
        <v>0,00 0,00</v>
        <stp/>
        <stp>PETR4_B_0</stp>
        <stp>101_psicotrade</stp>
        <tr r="AZ32" s="1"/>
      </tp>
      <tp>
        <v>11.68</v>
        <stp/>
        <stp>CMIG4_B_0</stp>
        <stp>FEC</stp>
        <tr r="H30" s="1"/>
      </tp>
      <tp t="s">
        <v>-</v>
        <stp/>
        <stp>ITUB4_B_0</stp>
        <stp>IMPVT</stp>
        <tr r="AN28" s="1"/>
      </tp>
      <tp t="s">
        <v>-</v>
        <stp/>
        <stp>ITSA4_B_0</stp>
        <stp>IMPVT</stp>
        <tr r="AN14" s="1"/>
      </tp>
      <tp>
        <v>5321.5</v>
        <stp/>
        <stp>DOLFUT_F_0</stp>
        <stp>OCP</stp>
        <tr r="R33" s="1"/>
      </tp>
      <tp>
        <v>-63.177570093457959</v>
        <stp/>
        <stp>GFSA3_B_0</stp>
        <stp>TRIM</stp>
        <tr r="AG20" s="1"/>
      </tp>
      <tp>
        <v>6.16</v>
        <stp/>
        <stp>CSNA3_B_0</stp>
        <stp>ABE</stp>
        <tr r="E16" s="1"/>
      </tp>
      <tp t="s">
        <v>-</v>
        <stp/>
        <stp>GGBR4_B_0</stp>
        <stp>GAMA</stp>
        <tr r="AP37" s="1"/>
      </tp>
      <tp>
        <v>180255</v>
        <stp/>
        <stp>INDFUT_F_0</stp>
        <stp>OCP</stp>
        <tr r="R36" s="1"/>
      </tp>
      <tp>
        <v>53.26</v>
        <stp/>
        <stp>SUZB3_B_0</stp>
        <stp>ULT</stp>
        <tr r="D29" s="1"/>
      </tp>
      <tp>
        <v>-36.129753914988818</v>
        <stp/>
        <stp>CSNA3_B_0</stp>
        <stp>ANO</stp>
        <tr r="AF16" s="1"/>
      </tp>
      <tp>
        <v>13.177457108315965</v>
        <stp/>
        <stp>ITSA4_B_0</stp>
        <stp>TRIM</stp>
        <tr r="AG14" s="1"/>
      </tp>
      <tp>
        <v>0</v>
        <stp/>
        <stp>CSNA3_B_0</stp>
        <stp>AJU</stp>
        <tr r="V16" s="1"/>
      </tp>
      <tp t="s">
        <v>-</v>
        <stp/>
        <stp>ABEV3_B_0</stp>
        <stp>VEGA</stp>
        <tr r="AS38" s="1"/>
      </tp>
      <tp>
        <v>0</v>
        <stp/>
        <stp>CSNA3_B_0</stp>
        <stp>AJA</stp>
        <tr r="W16" s="1"/>
      </tp>
      <tp>
        <v>6.44</v>
        <stp/>
        <stp>USIM5_B_0</stp>
        <stp>FEC</stp>
        <tr r="H35" s="1"/>
      </tp>
      <tp>
        <v>-955</v>
        <stp/>
        <stp>INDFUT_F_0</stp>
        <stp>VARPTS</stp>
        <tr r="K36" s="1"/>
      </tp>
      <tp t="s">
        <v>-</v>
        <stp/>
        <stp>ABEV3_B_0</stp>
        <stp>DOBRAR</stp>
        <tr r="AV38" s="1"/>
      </tp>
      <tp t="s">
        <v>-</v>
        <stp/>
        <stp>BBDC4_B_0</stp>
        <stp>DOBRAR</stp>
        <tr r="AV22" s="1"/>
      </tp>
      <tp t="s">
        <v>-</v>
        <stp/>
        <stp>BBAS3_B_0</stp>
        <stp>DOBRAR</stp>
        <tr r="AV25" s="1"/>
      </tp>
      <tp>
        <v>-11.157885341980778</v>
        <stp/>
        <stp>BBAS3_B_0</stp>
        <stp>MES</stp>
        <tr r="AB25" s="1"/>
      </tp>
      <tp>
        <v>24.150356025090357</v>
        <stp/>
        <stp>BBAS3_B_0</stp>
        <stp>MED</stp>
        <tr r="L25" s="1"/>
      </tp>
      <tp>
        <v>3.5179786200194267</v>
        <stp/>
        <stp>SUZB3_B_0</stp>
        <stp>TRIM</stp>
        <tr r="AG29" s="1"/>
      </tp>
      <tp>
        <v>0</v>
        <stp/>
        <stp>EMBR3_B_0</stp>
        <stp>NEG</stp>
        <tr r="N11" s="1"/>
      </tp>
      <tp>
        <v>17848</v>
        <stp/>
        <stp>GGBR4_B_0</stp>
        <stp>NEG</stp>
        <tr r="N37" s="1"/>
      </tp>
      <tp>
        <v>8.27</v>
        <stp/>
        <stp>GOAU4_B_0</stp>
        <stp>MAX</stp>
        <tr r="F39" s="1"/>
      </tp>
      <tp t="s">
        <v>Aberto</v>
        <stp/>
        <stp>CMIG4_B_0</stp>
        <stp>EST</stp>
        <tr r="AL30" s="1"/>
      </tp>
      <tp t="s">
        <v>-</v>
        <stp/>
        <stp>GOAU4_B_0</stp>
        <stp>VEXT</stp>
        <tr r="AY39" s="1"/>
      </tp>
      <tp>
        <v>-10.712847362062021</v>
        <stp/>
        <stp>BRAP4_B_0</stp>
        <stp>MES</stp>
        <tr r="AB24" s="1"/>
      </tp>
      <tp>
        <v>22.363980242192479</v>
        <stp/>
        <stp>BRAP4_B_0</stp>
        <stp>MED</stp>
        <tr r="L24" s="1"/>
      </tp>
      <tp>
        <v>24.68</v>
        <stp/>
        <stp>BBAS3_B_0</stp>
        <stp>MAX</stp>
        <tr r="F25" s="1"/>
      </tp>
      <tp>
        <v>88437510.659464076</v>
        <stp/>
        <stp>SUZB3_B_0</stp>
        <stp>VPJ</stp>
        <tr r="Z29" s="1"/>
      </tp>
      <tp>
        <v>0</v>
        <stp/>
        <stp>ECOR3_B_0</stp>
        <stp>CAB</stp>
        <tr r="AK19" s="1"/>
      </tp>
      <tp>
        <v>-13.197996876851006</v>
        <stp/>
        <stp>GOAU4_B_0</stp>
        <stp>MES</stp>
        <tr r="AB39" s="1"/>
      </tp>
      <tp>
        <v>8.1309001283983697</v>
        <stp/>
        <stp>GOAU4_B_0</stp>
        <stp>MED</stp>
        <tr r="L39" s="1"/>
      </tp>
      <tp>
        <v>22.7</v>
        <stp/>
        <stp>BRAP4_B_0</stp>
        <stp>MAX</stp>
        <tr r="F24" s="1"/>
      </tp>
      <tp t="s">
        <v>-</v>
        <stp/>
        <stp>MGLU3_B_0</stp>
        <stp>IMPVT</stp>
        <tr r="AN27" s="1"/>
      </tp>
      <tp t="s">
        <v>Aberto</v>
        <stp/>
        <stp>USIM5_B_0</stp>
        <stp>EST</stp>
        <tr r="AL35" s="1"/>
      </tp>
      <tp>
        <v>8.0299999999999994</v>
        <stp/>
        <stp>GOAU4_B_0</stp>
        <stp>MIN</stp>
        <tr r="G39" s="1"/>
      </tp>
      <tp>
        <v>23.82</v>
        <stp/>
        <stp>BBAS3_B_0</stp>
        <stp>MIN</stp>
        <tr r="G25" s="1"/>
      </tp>
      <tp t="s">
        <v>-</v>
        <stp/>
        <stp>MGLU3_B_0</stp>
        <stp>VEXT</stp>
        <tr r="AY27" s="1"/>
      </tp>
      <tp>
        <v>22.14</v>
        <stp/>
        <stp>BRAP4_B_0</stp>
        <stp>MIN</stp>
        <tr r="G24" s="1"/>
      </tp>
      <tp t="s">
        <v>-</v>
        <stp/>
        <stp>SUZB3_B_0</stp>
        <stp>VEN</stp>
        <tr r="AI29" s="1"/>
      </tp>
      <tp t="s">
        <v>-</v>
        <stp/>
        <stp>MGLU3_B_0</stp>
        <stp>VEGA</stp>
        <tr r="AS27" s="1"/>
      </tp>
      <tp t="s">
        <v>-</v>
        <stp/>
        <stp>MRVE3_B_0</stp>
        <stp>IMPVT</stp>
        <tr r="AN21" s="1"/>
      </tp>
      <tp t="s">
        <v>0,00 0,00</v>
        <stp/>
        <stp>GFSA3_B_0</stp>
        <stp>101_psicotrade</stp>
        <tr r="AZ20" s="1"/>
      </tp>
      <tp t="s">
        <v>31/12/9999</v>
        <stp/>
        <stp>SUZB3_B_0</stp>
        <stp>VAL</stp>
        <tr r="AJ29" s="1"/>
      </tp>
      <tp>
        <v>-0.39274359453900864</v>
        <stp/>
        <stp>SUZB3_B_0</stp>
        <stp>VAR</stp>
        <tr r="J29" s="1"/>
      </tp>
      <tp t="s">
        <v>15:11:39</v>
        <stp/>
        <stp>BBDC4_B_0</stp>
        <stp>HOR</stp>
        <tr r="C22" s="1"/>
      </tp>
      <tp>
        <v>76551673</v>
        <stp/>
        <stp>SUZB3_B_0</stp>
        <stp>VOL</stp>
        <tr r="Q29" s="1"/>
      </tp>
      <tp>
        <v>3900</v>
        <stp/>
        <stp>SUZB3_B_0</stp>
        <stp>VOC</stp>
        <tr r="T29" s="1"/>
      </tp>
      <tp>
        <v>600</v>
        <stp/>
        <stp>SUZB3_B_0</stp>
        <stp>VOV</stp>
        <tr r="U29" s="1"/>
      </tp>
      <tp>
        <v>8.4241120527090647</v>
        <stp/>
        <stp>ITUB4_B_0</stp>
        <stp>TRIM</stp>
        <tr r="AG28" s="1"/>
      </tp>
      <tp t="s">
        <v>-</v>
        <stp/>
        <stp>GOAU4_B_0</stp>
        <stp>VEGA</stp>
        <tr r="AS39" s="1"/>
      </tp>
      <tp t="s">
        <v>-</v>
        <stp/>
        <stp>SUZB3_B_0</stp>
        <stp>VIA</stp>
        <tr r="AT29" s="1"/>
      </tp>
      <tp t="s">
        <v>-</v>
        <stp/>
        <stp>SUZB3_B_0</stp>
        <stp>VIB</stp>
        <tr r="AU29" s="1"/>
      </tp>
      <tp t="s">
        <v>-</v>
        <stp/>
        <stp>VALE3_B_0</stp>
        <stp>DOBRAR</stp>
        <tr r="AV26" s="1"/>
      </tp>
      <tp>
        <v>-0.15000000000000036</v>
        <stp/>
        <stp>ECOR3_B_0</stp>
        <stp>VARPTS</stp>
        <tr r="K19" s="1"/>
      </tp>
      <tp>
        <v>181604.48859953062</v>
        <stp/>
        <stp>WINFUT_F_0</stp>
        <stp>MED</stp>
        <tr r="L42" s="1"/>
      </tp>
      <tp>
        <v>5279.4715550353121</v>
        <stp/>
        <stp>WDOFUT_F_0</stp>
        <stp>MED</stp>
        <tr r="L41" s="1"/>
      </tp>
      <tp>
        <v>-5.8940224484468802</v>
        <stp/>
        <stp>WINFUT_F_0</stp>
        <stp>MES</stp>
        <tr r="AB42" s="1"/>
      </tp>
      <tp>
        <v>2.9204138864713278</v>
        <stp/>
        <stp>WDOFUT_F_0</stp>
        <stp>MES</stp>
        <tr r="AB41" s="1"/>
      </tp>
      <tp>
        <v>9.5</v>
        <stp/>
        <stp>MGLU3_B_0</stp>
        <stp>ABE</stp>
        <tr r="E27" s="1"/>
      </tp>
      <tp t="s">
        <v>0,00 0,00</v>
        <stp/>
        <stp>GGBR4_B_0</stp>
        <stp>101_psicotrade</stp>
        <tr r="AZ37" s="1"/>
      </tp>
      <tp>
        <v>0</v>
        <stp/>
        <stp>RENT3_B_0</stp>
        <stp>CAB</stp>
        <tr r="AK23" s="1"/>
      </tp>
      <tp>
        <v>5.2044999999999995</v>
        <stp/>
        <stp>DOLPT_E_0</stp>
        <stp>FEC</stp>
        <tr r="H13" s="1"/>
      </tp>
      <tp>
        <v>5327.5</v>
        <stp/>
        <stp>WDOFUT_F_0</stp>
        <stp>MAX</stp>
        <tr r="F41" s="1"/>
      </tp>
      <tp>
        <v>183185</v>
        <stp/>
        <stp>WINFUT_F_0</stp>
        <stp>MAX</stp>
        <tr r="F42" s="1"/>
      </tp>
      <tp>
        <v>17.830000000000002</v>
        <stp/>
        <stp>GGBR4_B_0</stp>
        <stp>OCP</stp>
        <tr r="R37" s="1"/>
      </tp>
      <tp>
        <v>0</v>
        <stp/>
        <stp>EMBR3_B_0</stp>
        <stp>OCP</stp>
        <tr r="R11" s="1"/>
      </tp>
      <tp>
        <v>0</v>
        <stp/>
        <stp>MGLU3_B_0</stp>
        <stp>AJU</stp>
        <tr r="V27" s="1"/>
      </tp>
      <tp>
        <v>0</v>
        <stp/>
        <stp>MGLU3_B_0</stp>
        <stp>AJA</stp>
        <tr r="W27" s="1"/>
      </tp>
      <tp t="s">
        <v>-</v>
        <stp/>
        <stp>VIVT3_B_0</stp>
        <stp>VEGA</stp>
        <tr r="AS12" s="1"/>
      </tp>
      <tp>
        <v>5237.5</v>
        <stp/>
        <stp>WDOFUT_F_0</stp>
        <stp>MIN</stp>
        <tr r="G41" s="1"/>
      </tp>
      <tp>
        <v>179665</v>
        <stp/>
        <stp>WINFUT_F_0</stp>
        <stp>MIN</stp>
        <tr r="G42" s="1"/>
      </tp>
      <tp t="s">
        <v>0,00 0,00</v>
        <stp/>
        <stp>MGLU3_B_0</stp>
        <stp>101_psicotrade</stp>
        <tr r="AZ27" s="1"/>
      </tp>
      <tp>
        <v>3.5794183445189982</v>
        <stp/>
        <stp>MGLU3_B_0</stp>
        <stp>ANO</stp>
        <tr r="AF27" s="1"/>
      </tp>
      <tp t="s">
        <v>-</v>
        <stp/>
        <stp>RENT3_B_0</stp>
        <stp>VEGA</stp>
        <tr r="AS23" s="1"/>
      </tp>
      <tp t="s">
        <v>15:11:37</v>
        <stp/>
        <stp>ABEV3_B_0</stp>
        <stp>HOR</stp>
        <tr r="C38" s="1"/>
      </tp>
      <tp t="s">
        <v>13/03/2026</v>
        <stp/>
        <stp>CMIG4_B_0</stp>
        <stp>DAT</stp>
        <tr r="B30" s="1"/>
      </tp>
      <tp>
        <v>389480</v>
        <stp/>
        <stp>BITFUT_F_0</stp>
        <stp>MAX</stp>
        <tr r="F43" s="1"/>
      </tp>
      <tp t="s">
        <v>-</v>
        <stp/>
        <stp>RENT3_B_0</stp>
        <stp>VEXT</stp>
        <tr r="AY23" s="1"/>
      </tp>
      <tp>
        <v>79.3</v>
        <stp/>
        <stp>VALE3_B_0</stp>
        <stp>ABE</stp>
        <tr r="E26" s="1"/>
      </tp>
      <tp>
        <v>179675</v>
        <stp/>
        <stp>INDFUT_F_0</stp>
        <stp>MIN</stp>
        <tr r="G36" s="1"/>
      </tp>
      <tp>
        <v>0</v>
        <stp/>
        <stp>EMBR3_B_0</stp>
        <stp>OVD</stp>
        <tr r="S11" s="1"/>
      </tp>
      <tp>
        <v>17.850000000000001</v>
        <stp/>
        <stp>GGBR4_B_0</stp>
        <stp>OVD</stp>
        <tr r="S37" s="1"/>
      </tp>
      <tp t="s">
        <v>-</v>
        <stp/>
        <stp>LREN3_B_0</stp>
        <stp>IMPVT</stp>
        <tr r="AN17" s="1"/>
      </tp>
      <tp>
        <v>5287.3420602808483</v>
        <stp/>
        <stp>DOLFUT_F_0</stp>
        <stp>MED</stp>
        <tr r="L33" s="1"/>
      </tp>
      <tp>
        <v>2.9204138864713278</v>
        <stp/>
        <stp>DOLFUT_F_0</stp>
        <stp>MES</stp>
        <tr r="AB33" s="1"/>
      </tp>
      <tp t="s">
        <v>-</v>
        <stp/>
        <stp>BRAP4_B_0</stp>
        <stp>GAMA</stp>
        <tr r="AP24" s="1"/>
      </tp>
      <tp>
        <v>383462.77084487444</v>
        <stp/>
        <stp>BITFUT_F_0</stp>
        <stp>MED</stp>
        <tr r="L43" s="1"/>
      </tp>
      <tp>
        <v>11.06090834409107</v>
        <stp/>
        <stp>BITFUT_F_0</stp>
        <stp>MES</stp>
        <tr r="AB43" s="1"/>
      </tp>
      <tp t="s">
        <v>-</v>
        <stp/>
        <stp>VIVT3_B_0</stp>
        <stp>VEXT</stp>
        <tr r="AY12" s="1"/>
      </tp>
      <tp t="s">
        <v>00:00:00</v>
        <stp/>
        <stp>CIEL3_B_0</stp>
        <stp>HOR</stp>
        <tr r="C18" s="1"/>
      </tp>
      <tp>
        <v>0</v>
        <stp/>
        <stp>CSNA3_B_0</stp>
        <stp>CAB</stp>
        <tr r="AK16" s="1"/>
      </tp>
      <tp>
        <v>5327</v>
        <stp/>
        <stp>DOLFUT_F_0</stp>
        <stp>MAX</stp>
        <tr r="F33" s="1"/>
      </tp>
      <tp t="s">
        <v>15:11:39</v>
        <stp/>
        <stp>LREN3_B_0</stp>
        <stp>HOR</stp>
        <tr r="C17" s="1"/>
      </tp>
      <tp>
        <v>4.7584933733777968</v>
        <stp/>
        <stp>BBDC4_B_0</stp>
        <stp>TRIM</stp>
        <tr r="AG22" s="1"/>
      </tp>
      <tp>
        <v>377540</v>
        <stp/>
        <stp>BITFUT_F_0</stp>
        <stp>MIN</stp>
        <tr r="G43" s="1"/>
      </tp>
      <tp>
        <v>0</v>
        <stp/>
        <stp>VALE3_B_0</stp>
        <stp>AJA</stp>
        <tr r="W26" s="1"/>
      </tp>
      <tp>
        <v>0</v>
        <stp/>
        <stp>VALE3_B_0</stp>
        <stp>AJU</stp>
        <tr r="V26" s="1"/>
      </tp>
      <tp>
        <v>183180</v>
        <stp/>
        <stp>INDFUT_F_0</stp>
        <stp>MAX</stp>
        <tr r="F36" s="1"/>
      </tp>
      <tp t="s">
        <v>13/03/2026</v>
        <stp/>
        <stp>USIM5_B_0</stp>
        <stp>DAT</stp>
        <tr r="B35" s="1"/>
      </tp>
      <tp>
        <v>9.3802112284602348</v>
        <stp/>
        <stp>VALE3_B_0</stp>
        <stp>ANO</stp>
        <tr r="AF26" s="1"/>
      </tp>
      <tp>
        <v>181559.06883380105</v>
        <stp/>
        <stp>INDFUT_F_0</stp>
        <stp>MED</stp>
        <tr r="L36" s="1"/>
      </tp>
      <tp>
        <v>-5.9237995824634657</v>
        <stp/>
        <stp>INDFUT_F_0</stp>
        <stp>MES</stp>
        <tr r="AB36" s="1"/>
      </tp>
      <tp>
        <v>5238</v>
        <stp/>
        <stp>DOLFUT_F_0</stp>
        <stp>MIN</stp>
        <tr r="G33" s="1"/>
      </tp>
      <tp t="s">
        <v>-</v>
        <stp/>
        <stp>DOLPT_E_0</stp>
        <stp>GAMA</stp>
        <tr r="AP13" s="1"/>
      </tp>
      <tp>
        <v>-0.33999999999999986</v>
        <stp/>
        <stp>BBAS3_B_0</stp>
        <stp>VARPTS</stp>
        <tr r="K25" s="1"/>
      </tp>
      <tp>
        <v>-0.37999999999999901</v>
        <stp/>
        <stp>BBDC4_B_0</stp>
        <stp>VARPTS</stp>
        <tr r="K22" s="1"/>
      </tp>
      <tp>
        <v>0.15999999999999837</v>
        <stp/>
        <stp>ABEV3_B_0</stp>
        <stp>VARPTS</stp>
        <tr r="K38" s="1"/>
      </tp>
      <tp t="s">
        <v>-</v>
        <stp/>
        <stp>INDFUT_F_0</stp>
        <stp>DOBRAR</stp>
        <tr r="AV36" s="1"/>
      </tp>
      <tp t="s">
        <v>0,00 0,00</v>
        <stp/>
        <stp>DOLFUT_F_0</stp>
        <stp>101_psicotrade</stp>
        <tr r="AZ33" s="1"/>
      </tp>
      <tp t="s">
        <v>-</v>
        <stp/>
        <stp>PETR4_B_0</stp>
        <stp>VEN</stp>
        <tr r="AI32" s="1"/>
      </tp>
      <tp>
        <v>0</v>
        <stp/>
        <stp>CYRE3_B_0</stp>
        <stp>PRT</stp>
        <tr r="X15" s="1"/>
      </tp>
      <tp>
        <v>-15.873015873015881</v>
        <stp/>
        <stp>ECOR3_B_0</stp>
        <stp>MES</stp>
        <tr r="AB19" s="1"/>
      </tp>
      <tp>
        <v>9.2174634817741872</v>
        <stp/>
        <stp>ECOR3_B_0</stp>
        <stp>MED</stp>
        <tr r="L19" s="1"/>
      </tp>
      <tp>
        <v>100</v>
        <stp/>
        <stp>GFSA3_B_0</stp>
        <stp>QUL</stp>
        <tr r="O20" s="1"/>
      </tp>
      <tp>
        <v>300</v>
        <stp/>
        <stp>B3SA3_B_0</stp>
        <stp>QUL</stp>
        <tr r="O40" s="1"/>
      </tp>
      <tp>
        <v>100</v>
        <stp/>
        <stp>ITSA4_B_0</stp>
        <stp>QUL</stp>
        <tr r="O14" s="1"/>
      </tp>
      <tp>
        <v>0</v>
        <stp/>
        <stp>GOAU4_B_0</stp>
        <stp>CAB</stp>
        <tr r="AK39" s="1"/>
      </tp>
      <tp>
        <v>10210100</v>
        <stp/>
        <stp>ITSA4_B_0</stp>
        <stp>QTT</stp>
        <tr r="P14" s="1"/>
      </tp>
      <tp>
        <v>628800</v>
        <stp/>
        <stp>GFSA3_B_0</stp>
        <stp>QTT</stp>
        <tr r="P20" s="1"/>
      </tp>
      <tp>
        <v>13415200</v>
        <stp/>
        <stp>B3SA3_B_0</stp>
        <stp>QTT</stp>
        <tr r="P40" s="1"/>
      </tp>
      <tp>
        <v>0</v>
        <stp/>
        <stp>ITSA4_B_0</stp>
        <stp>QTE</stp>
        <tr r="Y14" s="1"/>
      </tp>
      <tp>
        <v>0</v>
        <stp/>
        <stp>GFSA3_B_0</stp>
        <stp>QTE</stp>
        <tr r="Y20" s="1"/>
      </tp>
      <tp>
        <v>0</v>
        <stp/>
        <stp>B3SA3_B_0</stp>
        <stp>QTE</stp>
        <tr r="Y40" s="1"/>
      </tp>
      <tp t="s">
        <v>-</v>
        <stp/>
        <stp>VALE3_B_0</stp>
        <stp>THETA</stp>
        <tr r="AQ26" s="1"/>
      </tp>
      <tp t="s">
        <v>30/12/1899</v>
        <stp/>
        <stp>BRFS3_B_0</stp>
        <stp>DAT</stp>
        <tr r="B31" s="1"/>
      </tp>
      <tp>
        <v>0</v>
        <stp/>
        <stp>BBAS3_B_0</stp>
        <stp>CAB</stp>
        <tr r="AK25" s="1"/>
      </tp>
      <tp t="s">
        <v>31/12/9999</v>
        <stp/>
        <stp>PETR4_B_0</stp>
        <stp>VAL</stp>
        <tr r="AJ32" s="1"/>
      </tp>
      <tp>
        <v>9.2899999999999991</v>
        <stp/>
        <stp>ECOR3_B_0</stp>
        <stp>MAX</stp>
        <tr r="F19" s="1"/>
      </tp>
      <tp>
        <v>-0.7111111111111118</v>
        <stp/>
        <stp>PETR4_B_0</stp>
        <stp>VAR</stp>
        <tr r="J32" s="1"/>
      </tp>
      <tp>
        <v>25468</v>
        <stp/>
        <stp>MGLU3_B_0</stp>
        <stp>NEG</stp>
        <tr r="N27" s="1"/>
      </tp>
      <tp>
        <v>0</v>
        <stp/>
        <stp>BRAP4_B_0</stp>
        <stp>CAB</stp>
        <tr r="AK24" s="1"/>
      </tp>
      <tp t="s">
        <v>-</v>
        <stp/>
        <stp>CIEL3_B_0</stp>
        <stp>IMPVT</stp>
        <tr r="AN18" s="1"/>
      </tp>
      <tp>
        <v>1128173666</v>
        <stp/>
        <stp>PETR4_B_0</stp>
        <stp>VOL</stp>
        <tr r="Q32" s="1"/>
      </tp>
      <tp>
        <v>700</v>
        <stp/>
        <stp>PETR4_B_0</stp>
        <stp>VOC</stp>
        <tr r="T32" s="1"/>
      </tp>
      <tp>
        <v>7300</v>
        <stp/>
        <stp>PETR4_B_0</stp>
        <stp>VOV</stp>
        <tr r="U32" s="1"/>
      </tp>
      <tp t="s">
        <v>-</v>
        <stp/>
        <stp>VIVT3_B_0</stp>
        <stp>THETA</stp>
        <tr r="AQ12" s="1"/>
      </tp>
      <tp t="s">
        <v>-</v>
        <stp/>
        <stp>PETR4_B_0</stp>
        <stp>VIA</stp>
        <tr r="AT32" s="1"/>
      </tp>
      <tp t="s">
        <v>-</v>
        <stp/>
        <stp>PETR4_B_0</stp>
        <stp>VIB</stp>
        <tr r="AU32" s="1"/>
      </tp>
      <tp>
        <v>9</v>
        <stp/>
        <stp>ECOR3_B_0</stp>
        <stp>MIN</stp>
        <tr r="G19" s="1"/>
      </tp>
      <tp>
        <v>19.39</v>
        <stp/>
        <stp>BBDC4_B_0</stp>
        <stp>FEC</stp>
        <tr r="H22" s="1"/>
      </tp>
      <tp t="s">
        <v>-</v>
        <stp/>
        <stp>RENT3_B_0</stp>
        <stp>BLACK</stp>
        <tr r="AM23" s="1"/>
      </tp>
      <tp>
        <v>0</v>
        <stp/>
        <stp>CIEL3_B_0</stp>
        <stp>TRIM</stp>
        <tr r="AG18" s="1"/>
      </tp>
      <tp t="s">
        <v>-</v>
        <stp/>
        <stp>CSNA3_B_0</stp>
        <stp>IMPVT</stp>
        <tr r="AN16" s="1"/>
      </tp>
      <tp>
        <v>1303270466.6595356</v>
        <stp/>
        <stp>PETR4_B_0</stp>
        <stp>VPJ</stp>
        <tr r="Z32" s="1"/>
      </tp>
      <tp>
        <v>0</v>
        <stp/>
        <stp>CYRE3_B_0</stp>
        <stp>PEX</stp>
        <tr r="I15" s="1"/>
      </tp>
      <tp>
        <v>27351</v>
        <stp/>
        <stp>VALE3_B_0</stp>
        <stp>NEG</stp>
        <tr r="N26" s="1"/>
      </tp>
      <tp t="s">
        <v>13/03/2026</v>
        <stp/>
        <stp>IBOV_B_0</stp>
        <stp>DAT</stp>
        <tr r="B34" s="1"/>
      </tp>
      <tp t="s">
        <v>-</v>
        <stp/>
        <stp>CYRE3_B_0</stp>
        <stp>IMPVT</stp>
        <tr r="AN15" s="1"/>
      </tp>
      <tp>
        <v>0.13000000000000078</v>
        <stp/>
        <stp>CMIG4_B_0</stp>
        <stp>VARPTS</stp>
        <tr r="K30" s="1"/>
      </tp>
      <tp t="s">
        <v>-</v>
        <stp/>
        <stp>DOLPT_E_0</stp>
        <stp>DOBRAR</stp>
        <tr r="AV13" s="1"/>
      </tp>
      <tp>
        <v>0</v>
        <stp/>
        <stp>EMBR3_B_0</stp>
        <stp>VARPTS</stp>
        <tr r="K11" s="1"/>
      </tp>
      <tp t="s">
        <v>-</v>
        <stp/>
        <stp>GOAU4_B_0</stp>
        <stp>DOBRAR</stp>
        <tr r="AV39" s="1"/>
      </tp>
      <tp>
        <v>8.1668394135599023</v>
        <stp/>
        <stp>INDFUT_F_0</stp>
        <stp>TRIM</stp>
        <tr r="AG36" s="1"/>
      </tp>
      <tp>
        <v>9.26</v>
        <stp/>
        <stp>MGLU3_B_0</stp>
        <stp>OCP</stp>
        <tr r="R27" s="1"/>
      </tp>
      <tp t="s">
        <v>-</v>
        <stp/>
        <stp>SUZB3_B_0</stp>
        <stp>BLACK</stp>
        <tr r="AM29" s="1"/>
      </tp>
      <tp>
        <v>7.3949579831932688</v>
        <stp/>
        <stp>USIM5_B_0</stp>
        <stp>TRIM</stp>
        <tr r="AG35" s="1"/>
      </tp>
      <tp t="s">
        <v>-</v>
        <stp/>
        <stp>BBAS3_B_0</stp>
        <stp>IMPVT</stp>
        <tr r="AN25" s="1"/>
      </tp>
      <tp>
        <v>45.89</v>
        <stp/>
        <stp>RENT3_B_0</stp>
        <stp>MAX</stp>
        <tr r="F23" s="1"/>
      </tp>
      <tp>
        <v>864148</v>
        <stp/>
        <stp>WINFUT_F_0</stp>
        <stp>CAB</stp>
        <tr r="AK42" s="1"/>
      </tp>
      <tp>
        <v>1376892</v>
        <stp/>
        <stp>WDOFUT_F_0</stp>
        <stp>CAB</stp>
        <tr r="AK41" s="1"/>
      </tp>
      <tp>
        <v>828047531.86072624</v>
        <stp/>
        <stp>ITUB4_B_0</stp>
        <stp>VPJ</stp>
        <tr r="Z28" s="1"/>
      </tp>
      <tp>
        <v>0</v>
        <stp/>
        <stp>ITSA4_B_0</stp>
        <stp>PRT</stp>
        <tr r="X14" s="1"/>
      </tp>
      <tp t="s">
        <v>-</v>
        <stp/>
        <stp>CIEL3_B_0</stp>
        <stp>101_psicotrade</stp>
        <tr r="AZ18" s="1"/>
      </tp>
      <tp>
        <v>0</v>
        <stp/>
        <stp>GFSA3_B_0</stp>
        <stp>PRT</stp>
        <tr r="X20" s="1"/>
      </tp>
      <tp>
        <v>78.73</v>
        <stp/>
        <stp>VALE3_B_0</stp>
        <stp>OVD</stp>
        <tr r="S26" s="1"/>
      </tp>
      <tp>
        <v>0</v>
        <stp/>
        <stp>B3SA3_B_0</stp>
        <stp>PRT</stp>
        <tr r="X40" s="1"/>
      </tp>
      <tp>
        <v>14.950000000000001</v>
        <stp/>
        <stp>ABEV3_B_0</stp>
        <stp>FEC</stp>
        <tr r="H38" s="1"/>
      </tp>
      <tp>
        <v>100</v>
        <stp/>
        <stp>CYRE3_B_0</stp>
        <stp>QUL</stp>
        <tr r="O15" s="1"/>
      </tp>
      <tp>
        <v>0</v>
        <stp/>
        <stp>EMBR3_B_0</stp>
        <stp>ABE</stp>
        <tr r="E11" s="1"/>
      </tp>
      <tp>
        <v>18.100000000000001</v>
        <stp/>
        <stp>GGBR4_B_0</stp>
        <stp>ABE</stp>
        <tr r="E37" s="1"/>
      </tp>
      <tp t="s">
        <v>-</v>
        <stp/>
        <stp>USIM5_B_0</stp>
        <stp>BLACK</stp>
        <tr r="AM35" s="1"/>
      </tp>
      <tp>
        <v>1901900</v>
        <stp/>
        <stp>CYRE3_B_0</stp>
        <stp>QTT</stp>
        <tr r="P15" s="1"/>
      </tp>
      <tp>
        <v>44.30906142099888</v>
        <stp/>
        <stp>RENT3_B_0</stp>
        <stp>MED</stp>
        <tr r="L23" s="1"/>
      </tp>
      <tp>
        <v>-13.908589440504338</v>
        <stp/>
        <stp>RENT3_B_0</stp>
        <stp>MES</stp>
        <tr r="AB23" s="1"/>
      </tp>
      <tp>
        <v>0</v>
        <stp/>
        <stp>CYRE3_B_0</stp>
        <stp>QTE</stp>
        <tr r="Y15" s="1"/>
      </tp>
      <tp t="s">
        <v>-</v>
        <stp/>
        <stp>PETR4_B_0</stp>
        <stp>THETA</stp>
        <tr r="AQ32" s="1"/>
      </tp>
      <tp t="s">
        <v>00:00:00</v>
        <stp/>
        <stp>DOLPT_E_0</stp>
        <stp>HOR</stp>
        <tr r="C13" s="1"/>
      </tp>
      <tp>
        <v>0</v>
        <stp/>
        <stp>EMBR3_B_0</stp>
        <stp>ANO</stp>
        <tr r="AF11" s="1"/>
      </tp>
      <tp>
        <v>-12.088670630811871</v>
        <stp/>
        <stp>GGBR4_B_0</stp>
        <stp>ANO</stp>
        <tr r="AF37" s="1"/>
      </tp>
      <tp>
        <v>43.42</v>
        <stp/>
        <stp>RENT3_B_0</stp>
        <stp>MIN</stp>
        <tr r="G23" s="1"/>
      </tp>
      <tp t="s">
        <v>Aberto</v>
        <stp/>
        <stp>IBOV_B_0</stp>
        <stp>EST</stp>
        <tr r="AL34" s="1"/>
      </tp>
      <tp t="s">
        <v>-</v>
        <stp/>
        <stp>ABEV3_B_0</stp>
        <stp>VIVH</stp>
        <tr r="AW38" s="1"/>
      </tp>
      <tp>
        <v>0</v>
        <stp/>
        <stp>EMBR3_B_0</stp>
        <stp>AJU</stp>
        <tr r="V11" s="1"/>
      </tp>
      <tp>
        <v>0</v>
        <stp/>
        <stp>GGBR4_B_0</stp>
        <stp>AJU</stp>
        <tr r="V37" s="1"/>
      </tp>
      <tp>
        <v>40.99</v>
        <stp/>
        <stp>VIVT3_B_0</stp>
        <stp>ULT</stp>
        <tr r="D12" s="1"/>
      </tp>
      <tp>
        <v>0</v>
        <stp/>
        <stp>GGBR4_B_0</stp>
        <stp>AJA</stp>
        <tr r="W37" s="1"/>
      </tp>
      <tp>
        <v>0</v>
        <stp/>
        <stp>EMBR3_B_0</stp>
        <stp>AJA</stp>
        <tr r="W11" s="1"/>
      </tp>
      <tp>
        <v>78.710000000000008</v>
        <stp/>
        <stp>VALE3_B_0</stp>
        <stp>OCP</stp>
        <tr r="R26" s="1"/>
      </tp>
      <tp>
        <v>21560</v>
        <stp/>
        <stp>BITFUT_F_0</stp>
        <stp>CAB</stp>
        <tr r="AK43" s="1"/>
      </tp>
      <tp t="s">
        <v>-</v>
        <stp/>
        <stp>ITUB4_B_0</stp>
        <stp>VEN</stp>
        <tr r="AI28" s="1"/>
      </tp>
      <tp>
        <v>0</v>
        <stp/>
        <stp>B3SA3_B_0</stp>
        <stp>PEX</stp>
        <tr r="I40" s="1"/>
      </tp>
      <tp>
        <v>0</v>
        <stp/>
        <stp>GFSA3_B_0</stp>
        <stp>PEX</stp>
        <tr r="I20" s="1"/>
      </tp>
      <tp>
        <v>-33.758700696055691</v>
        <stp/>
        <stp>CSNA3_B_0</stp>
        <stp>MES</stp>
        <tr r="AB16" s="1"/>
      </tp>
      <tp>
        <v>0</v>
        <stp/>
        <stp>ITSA4_B_0</stp>
        <stp>PEX</stp>
        <tr r="I14" s="1"/>
      </tp>
      <tp>
        <v>5.859807751208491</v>
        <stp/>
        <stp>CSNA3_B_0</stp>
        <stp>MED</stp>
        <tr r="L16" s="1"/>
      </tp>
      <tp t="s">
        <v>-</v>
        <stp/>
        <stp>BRFS3_B_0</stp>
        <stp>IMPVT</stp>
        <tr r="AN31" s="1"/>
      </tp>
      <tp t="s">
        <v>-</v>
        <stp/>
        <stp>ABEV3_B_0</stp>
        <stp>VINT</stp>
        <tr r="AX38" s="1"/>
      </tp>
      <tp>
        <v>-0.46849379245725653</v>
        <stp/>
        <stp>ITUB4_B_0</stp>
        <stp>VAR</stp>
        <tr r="J28" s="1"/>
      </tp>
      <tp>
        <v>9.2799999999999994</v>
        <stp/>
        <stp>MGLU3_B_0</stp>
        <stp>OVD</stp>
        <tr r="S27" s="1"/>
      </tp>
      <tp t="s">
        <v>31/12/9999</v>
        <stp/>
        <stp>ITUB4_B_0</stp>
        <stp>VAL</stp>
        <tr r="AJ28" s="1"/>
      </tp>
      <tp>
        <v>6.18</v>
        <stp/>
        <stp>CSNA3_B_0</stp>
        <stp>MAX</stp>
        <tr r="F16" s="1"/>
      </tp>
      <tp t="s">
        <v>NONE</v>
        <stp/>
        <stp>BRFS3_B_0</stp>
        <stp>EST</stp>
        <tr r="AL31" s="1"/>
      </tp>
      <tp t="s">
        <v>0,00 0,00</v>
        <stp/>
        <stp>VIVT3_B_0</stp>
        <stp>101_psicotrade</stp>
        <tr r="AZ12" s="1"/>
      </tp>
      <tp>
        <v>911142</v>
        <stp/>
        <stp>DOLFUT_F_0</stp>
        <stp>CAB</stp>
        <tr r="AK33" s="1"/>
      </tp>
      <tp>
        <v>183925</v>
        <stp/>
        <stp>INDFUT_F_0</stp>
        <stp>CAB</stp>
        <tr r="AK36" s="1"/>
      </tp>
      <tp>
        <v>6100</v>
        <stp/>
        <stp>ITUB4_B_0</stp>
        <stp>VOV</stp>
        <tr r="U28" s="1"/>
      </tp>
      <tp>
        <v>200</v>
        <stp/>
        <stp>ITUB4_B_0</stp>
        <stp>VOC</stp>
        <tr r="T28" s="1"/>
      </tp>
      <tp>
        <v>716759477</v>
        <stp/>
        <stp>ITUB4_B_0</stp>
        <stp>VOL</stp>
        <tr r="Q28" s="1"/>
      </tp>
      <tp>
        <v>15.020000000000001</v>
        <stp/>
        <stp>LREN3_B_0</stp>
        <stp>FEC</stp>
        <tr r="H17" s="1"/>
      </tp>
      <tp t="s">
        <v>-</v>
        <stp/>
        <stp>ITUB4_B_0</stp>
        <stp>VIA</stp>
        <tr r="AT28" s="1"/>
      </tp>
      <tp t="s">
        <v>-</v>
        <stp/>
        <stp>ITUB4_B_0</stp>
        <stp>VIB</stp>
        <tr r="AU28" s="1"/>
      </tp>
      <tp>
        <v>5.66</v>
        <stp/>
        <stp>CSNA3_B_0</stp>
        <stp>MIN</stp>
        <tr r="G16" s="1"/>
      </tp>
      <tp>
        <v>7.7</v>
        <stp/>
        <stp>MRVE3_B_0</stp>
        <stp>ULT</stp>
        <tr r="D21" s="1"/>
      </tp>
      <tp>
        <v>0</v>
        <stp/>
        <stp>CIEL3_B_0</stp>
        <stp>FEC</stp>
        <tr r="H18" s="1"/>
      </tp>
      <tp t="s">
        <v>-</v>
        <stp/>
        <stp>B3SA3_B_0</stp>
        <stp>IMPVT</stp>
        <tr r="AN40" s="1"/>
      </tp>
      <tp t="s">
        <v>0,00 0,00</v>
        <stp/>
        <stp>WINFUT_F_0</stp>
        <stp>101_psicotrade</stp>
        <tr r="AZ42" s="1"/>
      </tp>
      <tp t="s">
        <v>-</v>
        <stp/>
        <stp>MGLU3_B_0</stp>
        <stp>VIVH</stp>
        <tr r="AW27" s="1"/>
      </tp>
      <tp>
        <v>0</v>
        <stp/>
        <stp>BRFS3_B_0</stp>
        <stp>FEC</stp>
        <tr r="H31" s="1"/>
      </tp>
      <tp>
        <v>8.2100000000000009</v>
        <stp/>
        <stp>GOAU4_B_0</stp>
        <stp>ABE</stp>
        <tr r="E39" s="1"/>
      </tp>
      <tp t="s">
        <v>-</v>
        <stp/>
        <stp>ABEV3_B_0</stp>
        <stp>IMPVT</stp>
        <tr r="AN38" s="1"/>
      </tp>
      <tp t="s">
        <v>31/12/9999</v>
        <stp/>
        <stp>VIVT3_B_0</stp>
        <stp>VAL</stp>
        <tr r="AJ12" s="1"/>
      </tp>
      <tp>
        <v>144815216.04363871</v>
        <stp/>
        <stp>MRVE3_B_0</stp>
        <stp>VPJ</stp>
        <tr r="Z21" s="1"/>
      </tp>
      <tp>
        <v>1.2598814229248962</v>
        <stp/>
        <stp>VIVT3_B_0</stp>
        <stp>VAR</stp>
        <tr r="J12" s="1"/>
      </tp>
      <tp>
        <v>22.55</v>
        <stp/>
        <stp>BRAP4_B_0</stp>
        <stp>ABE</stp>
        <tr r="E24" s="1"/>
      </tp>
      <tp t="s">
        <v>-</v>
        <stp/>
        <stp>VIVT3_B_0</stp>
        <stp>VEN</stp>
        <tr r="AI12" s="1"/>
      </tp>
      <tp>
        <v>9.01</v>
        <stp/>
        <stp>ECOR3_B_0</stp>
        <stp>OCP</stp>
        <tr r="R19" s="1"/>
      </tp>
      <tp>
        <v>22014</v>
        <stp/>
        <stp>RENT3_B_0</stp>
        <stp>NEG</stp>
        <tr r="N23" s="1"/>
      </tp>
      <tp>
        <v>24.46</v>
        <stp/>
        <stp>BBAS3_B_0</stp>
        <stp>ABE</stp>
        <tr r="E25" s="1"/>
      </tp>
      <tp>
        <v>11.407035175879393</v>
        <stp/>
        <stp>BRAP4_B_0</stp>
        <stp>ANO</stp>
        <tr r="AF24" s="1"/>
      </tp>
      <tp t="s">
        <v>NONE</v>
        <stp/>
        <stp>CIEL3_B_0</stp>
        <stp>EST</stp>
        <tr r="AL18" s="1"/>
      </tp>
      <tp>
        <v>0</v>
        <stp/>
        <stp>GOAU4_B_0</stp>
        <stp>AJU</stp>
        <tr r="V39" s="1"/>
      </tp>
      <tp>
        <v>0</v>
        <stp/>
        <stp>GOAU4_B_0</stp>
        <stp>AJA</stp>
        <tr r="W39" s="1"/>
      </tp>
      <tp t="s">
        <v>Aberto</v>
        <stp/>
        <stp>LREN3_B_0</stp>
        <stp>EST</stp>
        <tr r="AL17" s="1"/>
      </tp>
      <tp t="s">
        <v>-</v>
        <stp/>
        <stp>VIVT3_B_0</stp>
        <stp>VIA</stp>
        <tr r="AT12" s="1"/>
      </tp>
      <tp t="s">
        <v>-</v>
        <stp/>
        <stp>VIVT3_B_0</stp>
        <stp>VIB</stp>
        <tr r="AU12" s="1"/>
      </tp>
      <tp>
        <v>9.9999079113370399</v>
        <stp/>
        <stp>BBAS3_B_0</stp>
        <stp>ANO</stp>
        <tr r="AF25" s="1"/>
      </tp>
      <tp>
        <v>0</v>
        <stp/>
        <stp>BRAP4_B_0</stp>
        <stp>AJU</stp>
        <tr r="V24" s="1"/>
      </tp>
      <tp>
        <v>0</v>
        <stp/>
        <stp>BRAP4_B_0</stp>
        <stp>AJA</stp>
        <tr r="W24" s="1"/>
      </tp>
      <tp>
        <v>139490442</v>
        <stp/>
        <stp>VIVT3_B_0</stp>
        <stp>VOL</stp>
        <tr r="Q12" s="1"/>
      </tp>
      <tp>
        <v>1500</v>
        <stp/>
        <stp>VIVT3_B_0</stp>
        <stp>VOC</stp>
        <tr r="T12" s="1"/>
      </tp>
      <tp t="s">
        <v>-</v>
        <stp/>
        <stp>GOAU4_B_0</stp>
        <stp>VIVH</stp>
        <tr r="AW39" s="1"/>
      </tp>
      <tp>
        <v>-9.9189717798267605</v>
        <stp/>
        <stp>GOAU4_B_0</stp>
        <stp>ANO</stp>
        <tr r="AF39" s="1"/>
      </tp>
      <tp>
        <v>1600</v>
        <stp/>
        <stp>VIVT3_B_0</stp>
        <stp>VOV</stp>
        <tr r="U12" s="1"/>
      </tp>
      <tp>
        <v>0</v>
        <stp/>
        <stp>BBAS3_B_0</stp>
        <stp>AJU</stp>
        <tr r="V25" s="1"/>
      </tp>
      <tp>
        <v>0</v>
        <stp/>
        <stp>BBAS3_B_0</stp>
        <stp>AJA</stp>
        <tr r="W25" s="1"/>
      </tp>
      <tp>
        <v>-5.1724137931034582</v>
        <stp/>
        <stp>MRVE3_B_0</stp>
        <stp>VAR</stp>
        <tr r="J21" s="1"/>
      </tp>
      <tp>
        <v>161157121.69448012</v>
        <stp/>
        <stp>VIVT3_B_0</stp>
        <stp>VPJ</stp>
        <tr r="Z12" s="1"/>
      </tp>
      <tp>
        <v>3.1413612565444935</v>
        <stp/>
        <stp>GFSA3_B_0</stp>
        <stp>SEM</stp>
        <tr r="AA20" s="1"/>
      </tp>
      <tp>
        <v>-1.4501160092807628</v>
        <stp/>
        <stp>B3SA3_B_0</stp>
        <stp>SEM</stp>
        <tr r="AA40" s="1"/>
      </tp>
      <tp>
        <v>-0.90090090090090835</v>
        <stp/>
        <stp>ITSA4_B_0</stp>
        <stp>SEM</stp>
        <tr r="AA14" s="1"/>
      </tp>
      <tp t="s">
        <v>31/12/9999</v>
        <stp/>
        <stp>MRVE3_B_0</stp>
        <stp>VAL</stp>
        <tr r="AJ21" s="1"/>
      </tp>
      <tp>
        <v>9.02</v>
        <stp/>
        <stp>ECOR3_B_0</stp>
        <stp>OVD</stp>
        <tr r="S19" s="1"/>
      </tp>
      <tp>
        <v>20021</v>
        <stp/>
        <stp>CSNA3_B_0</stp>
        <stp>NEG</stp>
        <tr r="N16" s="1"/>
      </tp>
      <tp t="s">
        <v>Aberto</v>
        <stp/>
        <stp>ABEV3_B_0</stp>
        <stp>EST</stp>
        <tr r="AL38" s="1"/>
      </tp>
      <tp t="s">
        <v>13/03/2026</v>
        <stp/>
        <stp>BBDC4_B_0</stp>
        <stp>DAT</stp>
        <tr r="B22" s="1"/>
      </tp>
      <tp t="s">
        <v>-</v>
        <stp/>
        <stp>GOAU4_B_0</stp>
        <stp>VINT</stp>
        <tr r="AX39" s="1"/>
      </tp>
      <tp t="s">
        <v>-</v>
        <stp/>
        <stp>MRVE3_B_0</stp>
        <stp>VEN</stp>
        <tr r="AI21" s="1"/>
      </tp>
      <tp>
        <v>42.49</v>
        <stp/>
        <stp>ITUB4_B_0</stp>
        <stp>ULT</stp>
        <tr r="D28" s="1"/>
      </tp>
      <tp t="s">
        <v>-</v>
        <stp/>
        <stp>MGLU3_B_0</stp>
        <stp>VINT</stp>
        <tr r="AX27" s="1"/>
      </tp>
      <tp t="s">
        <v>-</v>
        <stp/>
        <stp>MRVE3_B_0</stp>
        <stp>VIB</stp>
        <tr r="AU21" s="1"/>
      </tp>
      <tp t="s">
        <v>-</v>
        <stp/>
        <stp>MRVE3_B_0</stp>
        <stp>VIA</stp>
        <tr r="AT21" s="1"/>
      </tp>
      <tp t="s">
        <v>-</v>
        <stp/>
        <stp>CYRE3_B_0</stp>
        <stp>RHO</stp>
        <tr r="AR15" s="1"/>
      </tp>
      <tp>
        <v>20700</v>
        <stp/>
        <stp>MRVE3_B_0</stp>
        <stp>VOV</stp>
        <tr r="U21" s="1"/>
      </tp>
      <tp>
        <v>6400</v>
        <stp/>
        <stp>MRVE3_B_0</stp>
        <stp>VOC</stp>
        <tr r="T21" s="1"/>
      </tp>
      <tp>
        <v>125365728</v>
        <stp/>
        <stp>MRVE3_B_0</stp>
        <stp>VOL</stp>
        <tr r="Q21" s="1"/>
      </tp>
      <tp>
        <v>179284.49000000002</v>
        <stp/>
        <stp>IBOV_B_0</stp>
        <stp>FEC</stp>
        <tr r="H34" s="1"/>
      </tp>
      <tp>
        <v>12.342007434944225</v>
        <stp/>
        <stp>LREN3_B_0</stp>
        <stp>TRIM</stp>
        <tr r="AG17" s="1"/>
      </tp>
      <tp>
        <v>10.611072607622255</v>
        <stp/>
        <stp>IBOV_B_0</stp>
        <stp>TRIM</stp>
        <tr r="AG34" s="1"/>
      </tp>
      <tp>
        <v>4.9000000000000377E-2</v>
        <stp/>
        <stp>DOLPT_E_0</stp>
        <stp>VARPTS</stp>
        <tr r="K13" s="1"/>
      </tp>
      <tp t="s">
        <v>-</v>
        <stp/>
        <stp>CMIG4_B_0</stp>
        <stp>DOBRAR</stp>
        <tr r="AV30" s="1"/>
      </tp>
      <tp>
        <v>-9.9999999999999645E-2</v>
        <stp/>
        <stp>GOAU4_B_0</stp>
        <stp>VARPTS</stp>
        <tr r="K39" s="1"/>
      </tp>
      <tp t="s">
        <v>-</v>
        <stp/>
        <stp>EMBR3_B_0</stp>
        <stp>DOBRAR</stp>
        <tr r="AV11" s="1"/>
      </tp>
      <tp t="s">
        <v>0,00 0,00</v>
        <stp/>
        <stp>WDOFUT_F_0</stp>
        <stp>101_psicotrade</stp>
        <tr r="AZ41" s="1"/>
      </tp>
      <tp t="s">
        <v>13/03/2026</v>
        <stp/>
        <stp>ABEV3_B_0</stp>
        <stp>DAT</stp>
        <tr r="B38" s="1"/>
      </tp>
      <tp>
        <v>11563</v>
        <stp/>
        <stp>ECOR3_B_0</stp>
        <stp>NEG</stp>
        <tr r="N19" s="1"/>
      </tp>
      <tp>
        <v>43.7</v>
        <stp/>
        <stp>RENT3_B_0</stp>
        <stp>OCP</stp>
        <tr r="R23" s="1"/>
      </tp>
      <tp>
        <v>5.72</v>
        <stp/>
        <stp>CSNA3_B_0</stp>
        <stp>OVD</stp>
        <tr r="S16" s="1"/>
      </tp>
      <tp>
        <v>10.33</v>
        <stp/>
        <stp>MGLU3_B_0</stp>
        <stp>MAX</stp>
        <tr r="F27" s="1"/>
      </tp>
      <tp t="s">
        <v>-</v>
        <stp/>
        <stp>VIVT3_B_0</stp>
        <stp>VINT</stp>
        <tr r="AX12" s="1"/>
      </tp>
      <tp>
        <v>0</v>
        <stp/>
        <stp>GGBR4_B_0</stp>
        <stp>CAB</stp>
        <tr r="AK37" s="1"/>
      </tp>
      <tp>
        <v>0</v>
        <stp/>
        <stp>EMBR3_B_0</stp>
        <stp>CAB</stp>
        <tr r="AK11" s="1"/>
      </tp>
      <tp>
        <v>-0.96256684491978461</v>
        <stp/>
        <stp>MGLU3_B_0</stp>
        <stp>MES</stp>
        <tr r="AB27" s="1"/>
      </tp>
      <tp t="s">
        <v>Aberto</v>
        <stp/>
        <stp>BBDC4_B_0</stp>
        <stp>EST</stp>
        <tr r="AL22" s="1"/>
      </tp>
      <tp>
        <v>9.9223152734530942</v>
        <stp/>
        <stp>MGLU3_B_0</stp>
        <stp>MED</stp>
        <tr r="L27" s="1"/>
      </tp>
      <tp>
        <v>182220</v>
        <stp/>
        <stp>WINFUT_F_0</stp>
        <stp>ABE</stp>
        <tr r="E42" s="1"/>
      </tp>
      <tp>
        <v>5262</v>
        <stp/>
        <stp>WDOFUT_F_0</stp>
        <stp>ABE</stp>
        <tr r="E41" s="1"/>
      </tp>
      <tp t="s">
        <v>-</v>
        <stp/>
        <stp>RENT3_B_0</stp>
        <stp>VINT</stp>
        <tr r="AX23" s="1"/>
      </tp>
      <tp t="s">
        <v>-</v>
        <stp/>
        <stp>GGBR4_B_0</stp>
        <stp>IMPVT</stp>
        <tr r="AN37" s="1"/>
      </tp>
      <tp>
        <v>44.68</v>
        <stp/>
        <stp>PETR4_B_0</stp>
        <stp>ULT</stp>
        <tr r="D32" s="1"/>
      </tp>
      <tp>
        <v>9.15</v>
        <stp/>
        <stp>MGLU3_B_0</stp>
        <stp>MIN</stp>
        <tr r="G27" s="1"/>
      </tp>
      <tp>
        <v>-4.9546819762137009</v>
        <stp/>
        <stp>WDOFUT_F_0</stp>
        <stp>ANO</stp>
        <tr r="AF41" s="1"/>
      </tp>
      <tp>
        <v>7.9128249238037105</v>
        <stp/>
        <stp>WINFUT_F_0</stp>
        <stp>ANO</stp>
        <tr r="AF42" s="1"/>
      </tp>
      <tp>
        <v>181263</v>
        <stp/>
        <stp>WINFUT_F_0</stp>
        <stp>AJA</stp>
        <tr r="W42" s="1"/>
      </tp>
      <tp>
        <v>5253.3280000000004</v>
        <stp/>
        <stp>WDOFUT_F_0</stp>
        <stp>AJA</stp>
        <tr r="W41" s="1"/>
      </tp>
      <tp>
        <v>0</v>
        <stp/>
        <stp>WINFUT_F_0</stp>
        <stp>AJU</stp>
        <tr r="V42" s="1"/>
      </tp>
      <tp>
        <v>0</v>
        <stp/>
        <stp>WDOFUT_F_0</stp>
        <stp>AJU</stp>
        <tr r="V41" s="1"/>
      </tp>
      <tp t="s">
        <v>-</v>
        <stp/>
        <stp>GOAU4_B_0</stp>
        <stp>IMPVT</stp>
        <tr r="AN39" s="1"/>
      </tp>
      <tp>
        <v>181263</v>
        <stp/>
        <stp>INDFUT_F_0</stp>
        <stp>AJA</stp>
        <tr r="W36" s="1"/>
      </tp>
      <tp>
        <v>0</v>
        <stp/>
        <stp>INDFUT_F_0</stp>
        <stp>AJU</stp>
        <tr r="V36" s="1"/>
      </tp>
      <tp>
        <v>381680</v>
        <stp/>
        <stp>BITFUT_F_0</stp>
        <stp>ABE</stp>
        <tr r="E43" s="1"/>
      </tp>
      <tp>
        <v>80.489999999999995</v>
        <stp/>
        <stp>VALE3_B_0</stp>
        <stp>MAX</stp>
        <tr r="F26" s="1"/>
      </tp>
      <tp>
        <v>5264</v>
        <stp/>
        <stp>DOLFUT_F_0</stp>
        <stp>ABE</stp>
        <tr r="E33" s="1"/>
      </tp>
      <tp>
        <v>5.71</v>
        <stp/>
        <stp>CSNA3_B_0</stp>
        <stp>OCP</stp>
        <tr r="R16" s="1"/>
      </tp>
      <tp>
        <v>43.72</v>
        <stp/>
        <stp>RENT3_B_0</stp>
        <stp>OVD</stp>
        <tr r="S23" s="1"/>
      </tp>
      <tp t="s">
        <v>15:11:39</v>
        <stp/>
        <stp>USIM5_B_0</stp>
        <stp>HOR</stp>
        <tr r="C35" s="1"/>
      </tp>
      <tp>
        <v>8.1668394135599023</v>
        <stp/>
        <stp>INDFUT_F_0</stp>
        <stp>ANO</stp>
        <tr r="AF36" s="1"/>
      </tp>
      <tp>
        <v>79.054610222865662</v>
        <stp/>
        <stp>VALE3_B_0</stp>
        <stp>MED</stp>
        <tr r="L26" s="1"/>
      </tp>
      <tp>
        <v>-4.6769011067475983</v>
        <stp/>
        <stp>CYRE3_B_0</stp>
        <stp>SEM</stp>
        <tr r="AA15" s="1"/>
      </tp>
      <tp>
        <v>-11.031988244602696</v>
        <stp/>
        <stp>VALE3_B_0</stp>
        <stp>MES</stp>
        <tr r="AB26" s="1"/>
      </tp>
      <tp>
        <v>-4.8725851088347465</v>
        <stp/>
        <stp>DOLFUT_F_0</stp>
        <stp>ANO</stp>
        <tr r="AF33" s="1"/>
      </tp>
      <tp>
        <v>182100</v>
        <stp/>
        <stp>INDFUT_F_0</stp>
        <stp>ABE</stp>
        <tr r="E36" s="1"/>
      </tp>
      <tp t="s">
        <v>13/03/2026</v>
        <stp/>
        <stp>LREN3_B_0</stp>
        <stp>DAT</stp>
        <tr r="B17" s="1"/>
      </tp>
      <tp>
        <v>372087.3</v>
        <stp/>
        <stp>BITFUT_F_0</stp>
        <stp>AJA</stp>
        <tr r="W43" s="1"/>
      </tp>
      <tp>
        <v>0</v>
        <stp/>
        <stp>BITFUT_F_0</stp>
        <stp>AJU</stp>
        <tr r="V43" s="1"/>
      </tp>
      <tp>
        <v>78.45</v>
        <stp/>
        <stp>VALE3_B_0</stp>
        <stp>MIN</stp>
        <tr r="G26" s="1"/>
      </tp>
      <tp t="s">
        <v>30/12/1899</v>
        <stp/>
        <stp>CIEL3_B_0</stp>
        <stp>DAT</stp>
        <tr r="B18" s="1"/>
      </tp>
      <tp t="s">
        <v>-</v>
        <stp/>
        <stp>VIVT3_B_0</stp>
        <stp>VIVH</stp>
        <tr r="AW12" s="1"/>
      </tp>
      <tp>
        <v>5253.3280000000004</v>
        <stp/>
        <stp>DOLFUT_F_0</stp>
        <stp>AJA</stp>
        <tr r="W33" s="1"/>
      </tp>
      <tp>
        <v>0</v>
        <stp/>
        <stp>DOLFUT_F_0</stp>
        <stp>AJU</stp>
        <tr r="V33" s="1"/>
      </tp>
      <tp>
        <v>-24.38080940064409</v>
        <stp/>
        <stp>BITFUT_F_0</stp>
        <stp>ANO</stp>
        <tr r="AF43" s="1"/>
      </tp>
      <tp t="s">
        <v>15:11:38</v>
        <stp/>
        <stp>CMIG4_B_0</stp>
        <stp>HOR</stp>
        <tr r="C30" s="1"/>
      </tp>
      <tp t="s">
        <v>-</v>
        <stp/>
        <stp>GFSA3_B_0</stp>
        <stp>RHO</stp>
        <tr r="AR20" s="1"/>
      </tp>
      <tp t="s">
        <v>-</v>
        <stp/>
        <stp>B3SA3_B_0</stp>
        <stp>RHO</stp>
        <tr r="AR40" s="1"/>
      </tp>
      <tp t="s">
        <v>-</v>
        <stp/>
        <stp>RENT3_B_0</stp>
        <stp>VIVH</stp>
        <tr r="AW23" s="1"/>
      </tp>
      <tp t="s">
        <v>-</v>
        <stp/>
        <stp>ITSA4_B_0</stp>
        <stp>RHO</stp>
        <tr r="AR14" s="1"/>
      </tp>
      <tp t="s">
        <v>-</v>
        <stp/>
        <stp>WDOFUT_F_0</stp>
        <stp>VINT</stp>
        <tr r="AX41" s="1"/>
      </tp>
      <tp t="s">
        <v>-</v>
        <stp/>
        <stp>WINFUT_F_0</stp>
        <stp>VINT</stp>
        <tr r="AX42" s="1"/>
      </tp>
      <tp t="s">
        <v>-</v>
        <stp/>
        <stp>WINFUT_F_0</stp>
        <stp>VIVH</stp>
        <tr r="AW42" s="1"/>
      </tp>
      <tp t="s">
        <v>-</v>
        <stp/>
        <stp>WDOFUT_F_0</stp>
        <stp>VIVH</stp>
        <tr r="AW41" s="1"/>
      </tp>
      <tp>
        <v>181205</v>
        <stp/>
        <stp>WINFUT_F_0</stp>
        <stp>FEC</stp>
        <tr r="H42" s="1"/>
      </tp>
      <tp>
        <v>5281</v>
        <stp/>
        <stp>WDOFUT_F_0</stp>
        <stp>FEC</stp>
        <tr r="H41" s="1"/>
      </tp>
      <tp>
        <v>0</v>
        <stp/>
        <stp>MRVE3_B_0</stp>
        <stp>PRT</stp>
        <tr r="X21" s="1"/>
      </tp>
      <tp>
        <v>0</v>
        <stp/>
        <stp>ABEV3_B_0</stp>
        <stp>CAB</stp>
        <tr r="AK38" s="1"/>
      </tp>
      <tp>
        <v>2.0315018741867292</v>
        <stp/>
        <stp>DOLPT_E_0</stp>
        <stp>MES</stp>
        <tr r="AB13" s="1"/>
      </tp>
      <tp>
        <v>5.2534999999999998</v>
        <stp/>
        <stp>DOLPT_E_0</stp>
        <stp>MED</stp>
        <tr r="L13" s="1"/>
      </tp>
      <tp t="s">
        <v>30/12/1899</v>
        <stp/>
        <stp>EMBR3_B_0</stp>
        <stp>DAT</stp>
        <tr r="B11" s="1"/>
      </tp>
      <tp t="s">
        <v>13/03/2026</v>
        <stp/>
        <stp>GGBR4_B_0</stp>
        <stp>DAT</stp>
        <tr r="B37" s="1"/>
      </tp>
      <tp t="s">
        <v>-</v>
        <stp/>
        <stp>GFSA3_B_0</stp>
        <stp>IMPVT</stp>
        <tr r="AN20" s="1"/>
      </tp>
      <tp>
        <v>0</v>
        <stp/>
        <stp>VIVT3_B_0</stp>
        <stp>PEX</stp>
        <tr r="I12" s="1"/>
      </tp>
      <tp>
        <v>11.82</v>
        <stp/>
        <stp>CMIG4_B_0</stp>
        <stp>OVD</stp>
        <tr r="S30" s="1"/>
      </tp>
      <tp>
        <v>5.2534999999999998</v>
        <stp/>
        <stp>DOLPT_E_0</stp>
        <stp>MAX</stp>
        <tr r="F13" s="1"/>
      </tp>
      <tp t="s">
        <v>-</v>
        <stp/>
        <stp>RENT3_B_0</stp>
        <stp>THETA</stp>
        <tr r="AQ23" s="1"/>
      </tp>
      <tp t="s">
        <v>-</v>
        <stp/>
        <stp>PETR4_B_0</stp>
        <stp>RHO</stp>
        <tr r="AR32" s="1"/>
      </tp>
      <tp>
        <v>6.3900000000000006</v>
        <stp/>
        <stp>USIM5_B_0</stp>
        <stp>OVD</stp>
        <tr r="S35" s="1"/>
      </tp>
      <tp t="s">
        <v>15:11:31</v>
        <stp/>
        <stp>RENT3_B_0</stp>
        <stp>HOR</stp>
        <tr r="C23" s="1"/>
      </tp>
      <tp t="s">
        <v>-</v>
        <stp/>
        <stp>BRFS3_B_0</stp>
        <stp>VIVH</stp>
        <tr r="AW31" s="1"/>
      </tp>
      <tp t="s">
        <v>-</v>
        <stp/>
        <stp>BBAS3_B_0</stp>
        <stp>VIVH</stp>
        <tr r="AW25" s="1"/>
      </tp>
      <tp>
        <v>5.2534999999999998</v>
        <stp/>
        <stp>DOLPT_E_0</stp>
        <stp>MIN</stp>
        <tr r="G13" s="1"/>
      </tp>
      <tp>
        <v>0</v>
        <stp/>
        <stp>VIVT3_B_0</stp>
        <stp>PRT</stp>
        <tr r="X12" s="1"/>
      </tp>
      <tp>
        <v>-1.0249242953645417</v>
        <stp/>
        <stp>ITUB4_B_0</stp>
        <stp>SEM</stp>
        <tr r="AA28" s="1"/>
      </tp>
      <tp>
        <v>11.81</v>
        <stp/>
        <stp>CMIG4_B_0</stp>
        <stp>OCP</stp>
        <tr r="R30" s="1"/>
      </tp>
      <tp>
        <v>5281.5</v>
        <stp/>
        <stp>DOLFUT_F_0</stp>
        <stp>FEC</stp>
        <tr r="H33" s="1"/>
      </tp>
      <tp t="s">
        <v>-</v>
        <stp/>
        <stp>VALE3_B_0</stp>
        <stp>BLACK</stp>
        <tr r="AM26" s="1"/>
      </tp>
      <tp>
        <v>371920</v>
        <stp/>
        <stp>BITFUT_F_0</stp>
        <stp>FEC</stp>
        <tr r="H43" s="1"/>
      </tp>
      <tp>
        <v>0</v>
        <stp/>
        <stp>MRVE3_B_0</stp>
        <stp>PEX</stp>
        <tr r="I21" s="1"/>
      </tp>
      <tp t="s">
        <v>-</v>
        <stp/>
        <stp>BBAS3_B_0</stp>
        <stp>VINT</stp>
        <tr r="AX25" s="1"/>
      </tp>
      <tp t="s">
        <v>-</v>
        <stp/>
        <stp>BRFS3_B_0</stp>
        <stp>VINT</stp>
        <tr r="AX31" s="1"/>
      </tp>
      <tp t="s">
        <v>15:11:39</v>
        <stp/>
        <stp>CSNA3_B_0</stp>
        <stp>HOR</stp>
        <tr r="C16" s="1"/>
      </tp>
      <tp>
        <v>6.38</v>
        <stp/>
        <stp>USIM5_B_0</stp>
        <stp>OCP</stp>
        <tr r="R35" s="1"/>
      </tp>
      <tp>
        <v>0</v>
        <stp/>
        <stp>LREN3_B_0</stp>
        <stp>CAB</stp>
        <tr r="AK17" s="1"/>
      </tp>
      <tp>
        <v>13.2</v>
        <stp/>
        <stp>ITSA4_B_0</stp>
        <stp>ULT</stp>
        <tr r="D14" s="1"/>
      </tp>
      <tp>
        <v>1.97</v>
        <stp/>
        <stp>GFSA3_B_0</stp>
        <stp>ULT</stp>
        <tr r="D20" s="1"/>
      </tp>
      <tp>
        <v>16.989999999999998</v>
        <stp/>
        <stp>B3SA3_B_0</stp>
        <stp>ULT</stp>
        <tr r="D40" s="1"/>
      </tp>
      <tp>
        <v>0</v>
        <stp/>
        <stp>CIEL3_B_0</stp>
        <stp>CAB</stp>
        <tr r="AK18" s="1"/>
      </tp>
      <tp t="s">
        <v>-</v>
        <stp/>
        <stp>VIVT3_B_0</stp>
        <stp>BLACK</stp>
        <tr r="AM12" s="1"/>
      </tp>
      <tp>
        <v>181205</v>
        <stp/>
        <stp>INDFUT_F_0</stp>
        <stp>FEC</stp>
        <tr r="H36" s="1"/>
      </tp>
      <tp>
        <v>24.499793364817144</v>
        <stp/>
        <stp>IBOV_B_0</stp>
        <stp>6M</stp>
        <tr r="AD34" s="1"/>
      </tp>
      <tp t="s">
        <v>178.984,82</v>
        <stp/>
        <stp>IBOV_B_0</stp>
        <stp>67</stp>
        <tr r="BA34" s="1"/>
      </tp>
      <tp>
        <v>11.956471894118375</v>
        <stp/>
        <stp>IBOV_B_0</stp>
        <stp>3M</stp>
        <tr r="AC34" s="1"/>
      </tp>
      <tp>
        <v>0</v>
        <stp/>
        <stp>CIEL3_B_0</stp>
        <stp>VARPTS</stp>
        <tr r="K18" s="1"/>
      </tp>
      <tp t="s">
        <v>-</v>
        <stp/>
        <stp>WDOFUT_F_0</stp>
        <stp>DOBRAR</stp>
        <tr r="AV41" s="1"/>
      </tp>
      <tp>
        <v>0.50999999999999801</v>
        <stp/>
        <stp>VIVT3_B_0</stp>
        <stp>VARPTS</stp>
        <tr r="K12" s="1"/>
      </tp>
      <tp>
        <v>24.23</v>
        <stp/>
        <stp>BBAS3_B_0</stp>
        <stp>FEC</stp>
        <tr r="H25" s="1"/>
      </tp>
      <tp>
        <v>6.1030634053668971</v>
        <stp/>
        <stp>PETR4_B_0</stp>
        <stp>SEM</stp>
        <tr r="AA32" s="1"/>
      </tp>
      <tp t="s">
        <v>-</v>
        <stp/>
        <stp>PETR4_B_0</stp>
        <stp>VINT</stp>
        <tr r="AX32" s="1"/>
      </tp>
      <tp t="s">
        <v>0,00 0,00</v>
        <stp/>
        <stp>EMBR3_B_0</stp>
        <stp>101_psicotrade</stp>
        <tr r="AZ11" s="1"/>
      </tp>
      <tp>
        <v>22.55</v>
        <stp/>
        <stp>BRAP4_B_0</stp>
        <stp>FEC</stp>
        <tr r="H24" s="1"/>
      </tp>
      <tp>
        <v>8.16</v>
        <stp/>
        <stp>GOAU4_B_0</stp>
        <stp>FEC</stp>
        <tr r="H39" s="1"/>
      </tp>
      <tp>
        <v>100</v>
        <stp/>
        <stp>MRVE3_B_0</stp>
        <stp>QUL</stp>
        <tr r="O21" s="1"/>
      </tp>
      <tp>
        <v>15923000</v>
        <stp/>
        <stp>MRVE3_B_0</stp>
        <stp>QTT</stp>
        <tr r="P21" s="1"/>
      </tp>
      <tp>
        <v>0</v>
        <stp/>
        <stp>MRVE3_B_0</stp>
        <stp>QTE</stp>
        <tr r="Y21" s="1"/>
      </tp>
      <tp>
        <v>0</v>
        <stp/>
        <stp>BRFS3_B_0</stp>
        <stp>ABE</stp>
        <tr r="E31" s="1"/>
      </tp>
      <tp t="s">
        <v>-</v>
        <stp/>
        <stp>EMBR3_B_0</stp>
        <stp>VIVH</stp>
        <tr r="AW11" s="1"/>
      </tp>
      <tp t="s">
        <v>-</v>
        <stp/>
        <stp>ECOR3_B_0</stp>
        <stp>VIVH</stp>
        <tr r="AW19" s="1"/>
      </tp>
      <tp t="s">
        <v>0,00 0,00</v>
        <stp/>
        <stp>CMIG4_B_0</stp>
        <stp>101_psicotrade</stp>
        <tr r="AZ30" s="1"/>
      </tp>
      <tp t="s">
        <v>15:11:39</v>
        <stp/>
        <stp>ECOR3_B_0</stp>
        <stp>HOR</stp>
        <tr r="C19" s="1"/>
      </tp>
      <tp>
        <v>0</v>
        <stp/>
        <stp>BRFS3_B_0</stp>
        <stp>ANO</stp>
        <tr r="AF31" s="1"/>
      </tp>
      <tp t="s">
        <v>-</v>
        <stp/>
        <stp>GGBR4_B_0</stp>
        <stp>VIVH</stp>
        <tr r="AW37" s="1"/>
      </tp>
      <tp>
        <v>0</v>
        <stp/>
        <stp>BRFS3_B_0</stp>
        <stp>AJU</stp>
        <tr r="V31" s="1"/>
      </tp>
      <tp>
        <v>0</v>
        <stp/>
        <stp>BRFS3_B_0</stp>
        <stp>AJA</stp>
        <tr r="W31" s="1"/>
      </tp>
      <tp t="s">
        <v>-</v>
        <stp/>
        <stp>ECOR3_B_0</stp>
        <stp>VINT</stp>
        <tr r="AX19" s="1"/>
      </tp>
      <tp t="s">
        <v>-</v>
        <stp/>
        <stp>EMBR3_B_0</stp>
        <stp>VINT</stp>
        <tr r="AX11" s="1"/>
      </tp>
      <tp t="s">
        <v>-</v>
        <stp/>
        <stp>PETR4_B_0</stp>
        <stp>BLACK</stp>
        <tr r="AM32" s="1"/>
      </tp>
      <tp t="s">
        <v>-</v>
        <stp/>
        <stp>USIM5_B_0</stp>
        <stp>THETA</stp>
        <tr r="AQ35" s="1"/>
      </tp>
      <tp>
        <v>179519</v>
        <stp/>
        <stp>IBOV_B_0</stp>
        <stp>AJA</stp>
        <tr r="W34" s="1"/>
      </tp>
      <tp>
        <v>0</v>
        <stp/>
        <stp>IBOV_B_0</stp>
        <stp>AJU</stp>
        <tr r="V34" s="1"/>
      </tp>
      <tp>
        <v>12189</v>
        <stp/>
        <stp>CMIG4_B_0</stp>
        <stp>NEG</stp>
        <tr r="N30" s="1"/>
      </tp>
      <tp>
        <v>0</v>
        <stp/>
        <stp>BBDC4_B_0</stp>
        <stp>CAB</stp>
        <tr r="AK22" s="1"/>
      </tp>
      <tp t="s">
        <v>-</v>
        <stp/>
        <stp>GGBR4_B_0</stp>
        <stp>VINT</stp>
        <tr r="AX37" s="1"/>
      </tp>
      <tp>
        <v>0</v>
        <stp/>
        <stp>VIVT3_B_0</stp>
        <stp>QTE</stp>
        <tr r="Y12" s="1"/>
      </tp>
      <tp>
        <v>3400800</v>
        <stp/>
        <stp>VIVT3_B_0</stp>
        <stp>QTT</stp>
        <tr r="P12" s="1"/>
      </tp>
      <tp>
        <v>10.611072607622255</v>
        <stp/>
        <stp>IBOV_B_0</stp>
        <stp>ANO</stp>
        <tr r="AF34" s="1"/>
      </tp>
      <tp>
        <v>100</v>
        <stp/>
        <stp>VIVT3_B_0</stp>
        <stp>QUL</stp>
        <tr r="O12" s="1"/>
      </tp>
      <tp t="s">
        <v>NONE</v>
        <stp/>
        <stp>EMBR3_B_0</stp>
        <stp>EST</stp>
        <tr r="AL11" s="1"/>
      </tp>
      <tp t="s">
        <v>Aberto</v>
        <stp/>
        <stp>GGBR4_B_0</stp>
        <stp>EST</stp>
        <tr r="AL37" s="1"/>
      </tp>
      <tp t="s">
        <v>-</v>
        <stp/>
        <stp>SUZB3_B_0</stp>
        <stp>THETA</stp>
        <tr r="AQ29" s="1"/>
      </tp>
      <tp t="s">
        <v>-</v>
        <stp/>
        <stp>PETR4_B_0</stp>
        <stp>VIVH</stp>
        <tr r="AW32" s="1"/>
      </tp>
      <tp>
        <v>179285.23</v>
        <stp/>
        <stp>IBOV_B_0</stp>
        <stp>ABE</stp>
        <tr r="E34" s="1"/>
      </tp>
      <tp t="s">
        <v>-</v>
        <stp/>
        <stp>ITUB4_B_0</stp>
        <stp>RHO</stp>
        <tr r="AR28" s="1"/>
      </tp>
      <tp>
        <v>7483</v>
        <stp/>
        <stp>USIM5_B_0</stp>
        <stp>NEG</stp>
        <tr r="N35" s="1"/>
      </tp>
      <tp>
        <v>26.7</v>
        <stp/>
        <stp>CYRE3_B_0</stp>
        <stp>ULT</stp>
        <tr r="D15" s="1"/>
      </tp>
      <tp>
        <v>40</v>
        <stp/>
        <stp>DOLFUT_F_0</stp>
        <stp>VARPTS</stp>
        <tr r="K33" s="1"/>
      </tp>
      <tp t="s">
        <v>-</v>
        <stp/>
        <stp>WINFUT_F_0</stp>
        <stp>DOBRAR</stp>
        <tr r="AV42" s="1"/>
      </tp>
      <tp>
        <v>16750100</v>
        <stp/>
        <stp>ITUB4_B_0</stp>
        <stp>QTT</stp>
        <tr r="P28" s="1"/>
      </tp>
      <tp>
        <v>0</v>
        <stp/>
        <stp>ITUB4_B_0</stp>
        <stp>QTE</stp>
        <tr r="Y28" s="1"/>
      </tp>
      <tp>
        <v>0</v>
        <stp/>
        <stp>PETR4_B_0</stp>
        <stp>PEX</stp>
        <tr r="I32" s="1"/>
      </tp>
      <tp>
        <v>18.03</v>
        <stp/>
        <stp>GGBR4_B_0</stp>
        <stp>FEC</stp>
        <tr r="H37" s="1"/>
      </tp>
      <tp>
        <v>100</v>
        <stp/>
        <stp>ITUB4_B_0</stp>
        <stp>QUL</stp>
        <tr r="O28" s="1"/>
      </tp>
      <tp>
        <v>0</v>
        <stp/>
        <stp>EMBR3_B_0</stp>
        <stp>FEC</stp>
        <tr r="H11" s="1"/>
      </tp>
      <tp>
        <v>14.87</v>
        <stp/>
        <stp>ABEV3_B_0</stp>
        <stp>ABE</stp>
        <tr r="E38" s="1"/>
      </tp>
      <tp t="s">
        <v>-</v>
        <stp/>
        <stp>BBDC4_B_0</stp>
        <stp>IMPVT</stp>
        <tr r="AN22" s="1"/>
      </tp>
      <tp>
        <v>59686196.823359542</v>
        <stp/>
        <stp>CYRE3_B_0</stp>
        <stp>VPJ</stp>
        <tr r="Z15" s="1"/>
      </tp>
      <tp t="s">
        <v>-</v>
        <stp/>
        <stp>ECOR3_B_0</stp>
        <stp>IMPVT</stp>
        <tr r="AN19" s="1"/>
      </tp>
      <tp t="s">
        <v>13/03/2026</v>
        <stp/>
        <stp>WINFUT_F_0</stp>
        <stp>DAT</stp>
        <tr r="B42" s="1"/>
      </tp>
      <tp t="s">
        <v>13/03/2026</v>
        <stp/>
        <stp>WDOFUT_F_0</stp>
        <stp>DAT</stp>
        <tr r="B41" s="1"/>
      </tp>
      <tp>
        <v>0</v>
        <stp/>
        <stp>DOLPT_E_0</stp>
        <stp>OCP</stp>
        <tr r="R13" s="1"/>
      </tp>
      <tp t="s">
        <v>-</v>
        <stp/>
        <stp>VIVT3_B_0</stp>
        <stp>RHO</stp>
        <tr r="AR12" s="1"/>
      </tp>
      <tp>
        <v>0</v>
        <stp/>
        <stp>ABEV3_B_0</stp>
        <stp>AJU</stp>
        <tr r="V38" s="1"/>
      </tp>
      <tp>
        <v>0</v>
        <stp/>
        <stp>ABEV3_B_0</stp>
        <stp>AJA</stp>
        <tr r="W38" s="1"/>
      </tp>
      <tp t="s">
        <v>15:11:39</v>
        <stp/>
        <stp>MGLU3_B_0</stp>
        <stp>HOR</stp>
        <tr r="C27" s="1"/>
      </tp>
      <tp t="s">
        <v>-</v>
        <stp/>
        <stp>EMBR3_B_0</stp>
        <stp>IMPVT</stp>
        <tr r="AN11" s="1"/>
      </tp>
      <tp>
        <v>9.0187590187590061</v>
        <stp/>
        <stp>ABEV3_B_0</stp>
        <stp>ANO</stp>
        <tr r="AF38" s="1"/>
      </tp>
      <tp>
        <v>11.98</v>
        <stp/>
        <stp>CMIG4_B_0</stp>
        <stp>MAX</stp>
        <tr r="F30" s="1"/>
      </tp>
      <tp>
        <v>0</v>
        <stp/>
        <stp>CIEL3_B_0</stp>
        <stp>AJU</stp>
        <tr r="V18" s="1"/>
      </tp>
      <tp t="s">
        <v>Aberto</v>
        <stp/>
        <stp>GOAU4_B_0</stp>
        <stp>EST</stp>
        <tr r="AL39" s="1"/>
      </tp>
      <tp>
        <v>0</v>
        <stp/>
        <stp>CIEL3_B_0</stp>
        <stp>AJA</stp>
        <tr r="W18" s="1"/>
      </tp>
      <tp>
        <v>0</v>
        <stp/>
        <stp>DOLPT_E_0</stp>
        <stp>OVD</stp>
        <tr r="S13" s="1"/>
      </tp>
      <tp t="s">
        <v>13/03/2026</v>
        <stp/>
        <stp>BITFUT_F_0</stp>
        <stp>DAT</stp>
        <tr r="B43" s="1"/>
      </tp>
      <tp>
        <v>0</v>
        <stp/>
        <stp>LREN3_B_0</stp>
        <stp>AJU</stp>
        <tr r="V17" s="1"/>
      </tp>
      <tp>
        <v>6.29</v>
        <stp/>
        <stp>USIM5_B_0</stp>
        <stp>MIN</stp>
        <tr r="G35" s="1"/>
      </tp>
      <tp>
        <v>-2.9796511627906987</v>
        <stp/>
        <stp>CYRE3_B_0</stp>
        <stp>VAR</stp>
        <tr r="J15" s="1"/>
      </tp>
      <tp t="s">
        <v>31/12/9999</v>
        <stp/>
        <stp>CYRE3_B_0</stp>
        <stp>VAL</stp>
        <tr r="AJ15" s="1"/>
      </tp>
      <tp>
        <v>0</v>
        <stp/>
        <stp>LREN3_B_0</stp>
        <stp>AJA</stp>
        <tr r="W17" s="1"/>
      </tp>
      <tp t="s">
        <v>-</v>
        <stp/>
        <stp>BRAP4_B_0</stp>
        <stp>IMPVT</stp>
        <tr r="AN24" s="1"/>
      </tp>
      <tp>
        <v>-2.1541010770505369</v>
        <stp/>
        <stp>CMIG4_B_0</stp>
        <stp>MES</stp>
        <tr r="AB30" s="1"/>
      </tp>
      <tp>
        <v>0</v>
        <stp/>
        <stp>CIEL3_B_0</stp>
        <stp>ANO</stp>
        <tr r="AF18" s="1"/>
      </tp>
      <tp>
        <v>11.87370978710822</v>
        <stp/>
        <stp>CMIG4_B_0</stp>
        <stp>MED</stp>
        <tr r="L30" s="1"/>
      </tp>
      <tp t="s">
        <v>Aberto</v>
        <stp/>
        <stp>BRAP4_B_0</stp>
        <stp>EST</stp>
        <tr r="AL24" s="1"/>
      </tp>
      <tp t="s">
        <v>Aberto</v>
        <stp/>
        <stp>BBAS3_B_0</stp>
        <stp>EST</stp>
        <tr r="AL25" s="1"/>
      </tp>
      <tp t="s">
        <v>-</v>
        <stp/>
        <stp>CYRE3_B_0</stp>
        <stp>VEN</stp>
        <tr r="AI15" s="1"/>
      </tp>
      <tp>
        <v>12.342007434944225</v>
        <stp/>
        <stp>LREN3_B_0</stp>
        <stp>ANO</stp>
        <tr r="AF17" s="1"/>
      </tp>
      <tp>
        <v>0</v>
        <stp/>
        <stp>PETR4_B_0</stp>
        <stp>PRT</stp>
        <tr r="X32" s="1"/>
      </tp>
      <tp t="s">
        <v>13/03/2026</v>
        <stp/>
        <stp>DOLFUT_F_0</stp>
        <stp>DAT</stp>
        <tr r="B33" s="1"/>
      </tp>
      <tp>
        <v>11.73</v>
        <stp/>
        <stp>CMIG4_B_0</stp>
        <stp>MIN</stp>
        <tr r="G30" s="1"/>
      </tp>
      <tp>
        <v>0</v>
        <stp/>
        <stp>CIEL3_B_0</stp>
        <stp>ABE</stp>
        <tr r="E18" s="1"/>
      </tp>
      <tp t="s">
        <v>13/03/2026</v>
        <stp/>
        <stp>INDFUT_F_0</stp>
        <stp>DAT</stp>
        <tr r="B36" s="1"/>
      </tp>
      <tp>
        <v>6.51</v>
        <stp/>
        <stp>USIM5_B_0</stp>
        <stp>MAX</stp>
        <tr r="F35" s="1"/>
      </tp>
      <tp>
        <v>15.24</v>
        <stp/>
        <stp>LREN3_B_0</stp>
        <stp>ABE</stp>
        <tr r="E17" s="1"/>
      </tp>
      <tp t="s">
        <v>-</v>
        <stp/>
        <stp>CYRE3_B_0</stp>
        <stp>VIA</stp>
        <tr r="AT15" s="1"/>
      </tp>
      <tp t="s">
        <v>-</v>
        <stp/>
        <stp>CYRE3_B_0</stp>
        <stp>VIB</stp>
        <tr r="AU15" s="1"/>
      </tp>
      <tp t="s">
        <v>-</v>
        <stp/>
        <stp>MRVE3_B_0</stp>
        <stp>RHO</stp>
        <tr r="AR21" s="1"/>
      </tp>
      <tp>
        <v>2100</v>
        <stp/>
        <stp>CYRE3_B_0</stp>
        <stp>VOV</stp>
        <tr r="U15" s="1"/>
      </tp>
      <tp>
        <v>51670009</v>
        <stp/>
        <stp>CYRE3_B_0</stp>
        <stp>VOL</stp>
        <tr r="Q15" s="1"/>
      </tp>
      <tp>
        <v>1600</v>
        <stp/>
        <stp>CYRE3_B_0</stp>
        <stp>VOC</stp>
        <tr r="T15" s="1"/>
      </tp>
      <tp t="s">
        <v>15:11:30</v>
        <stp/>
        <stp>VALE3_B_0</stp>
        <stp>HOR</stp>
        <tr r="C26" s="1"/>
      </tp>
      <tp>
        <v>6.3906701815676028</v>
        <stp/>
        <stp>USIM5_B_0</stp>
        <stp>MED</stp>
        <tr r="L35" s="1"/>
      </tp>
      <tp>
        <v>-9.6181046676096269</v>
        <stp/>
        <stp>USIM5_B_0</stp>
        <stp>MES</stp>
        <tr r="AB35" s="1"/>
      </tp>
      <tp>
        <v>40.5</v>
        <stp/>
        <stp>WDOFUT_F_0</stp>
        <stp>VARPTS</stp>
        <tr r="K41" s="1"/>
      </tp>
      <tp t="s">
        <v>-</v>
        <stp/>
        <stp>CIEL3_B_0</stp>
        <stp>DOBRAR</stp>
        <tr r="AV18" s="1"/>
      </tp>
      <tp t="s">
        <v>-</v>
        <stp/>
        <stp>VIVT3_B_0</stp>
        <stp>DOBRAR</stp>
        <tr r="AV12" s="1"/>
      </tp>
      <tp t="s">
        <v>0,00 0,00</v>
        <stp/>
        <stp>GOAU4_B_0</stp>
        <stp>101_psicotrade</stp>
        <tr r="AZ39" s="1"/>
      </tp>
      <tp t="s">
        <v>13/03/2026</v>
        <stp/>
        <stp>GOAU4_B_0</stp>
        <stp>DAT</stp>
        <tr r="B39" s="1"/>
      </tp>
      <tp t="s">
        <v>Aberto</v>
        <stp/>
        <stp>BITFUT_F_0</stp>
        <stp>EST</stp>
        <tr r="AL43" s="1"/>
      </tp>
      <tp>
        <v>0</v>
        <stp/>
        <stp>DOLPT_E_0</stp>
        <stp>NEG</stp>
        <tr r="N13" s="1"/>
      </tp>
      <tp t="s">
        <v>13/03/2026</v>
        <stp/>
        <stp>BBAS3_B_0</stp>
        <stp>DAT</stp>
        <tr r="B25" s="1"/>
      </tp>
      <tp>
        <v>0</v>
        <stp/>
        <stp>BRFS3_B_0</stp>
        <stp>CAB</stp>
        <tr r="AK31" s="1"/>
      </tp>
      <tp t="s">
        <v>Aberto</v>
        <stp/>
        <stp>DOLFUT_F_0</stp>
        <stp>EST</stp>
        <tr r="AL33" s="1"/>
      </tp>
      <tp>
        <v>0</v>
        <stp/>
        <stp>ITUB4_B_0</stp>
        <stp>PRT</stp>
        <tr r="X28" s="1"/>
      </tp>
      <tp>
        <v>-1.1574632264287363</v>
        <stp/>
        <stp>VIVT3_B_0</stp>
        <stp>SEM</stp>
        <tr r="AA12" s="1"/>
      </tp>
      <tp t="s">
        <v>13/03/2026</v>
        <stp/>
        <stp>BRAP4_B_0</stp>
        <stp>DAT</stp>
        <tr r="B24" s="1"/>
      </tp>
      <tp>
        <v>267233514.64784214</v>
        <stp/>
        <stp>B3SA3_B_0</stp>
        <stp>VPJ</stp>
        <tr r="Z40" s="1"/>
      </tp>
      <tp>
        <v>1434972.5338491295</v>
        <stp/>
        <stp>GFSA3_B_0</stp>
        <stp>VPJ</stp>
        <tr r="Z20" s="1"/>
      </tp>
      <tp>
        <v>156773788.90731132</v>
        <stp/>
        <stp>ITSA4_B_0</stp>
        <stp>VPJ</stp>
        <tr r="Z14" s="1"/>
      </tp>
      <tp t="s">
        <v>Aberto</v>
        <stp/>
        <stp>INDFUT_F_0</stp>
        <stp>EST</stp>
        <tr r="AL36" s="1"/>
      </tp>
      <tp t="s">
        <v>-</v>
        <stp/>
        <stp>BRAP4_B_0</stp>
        <stp>VIVH</stp>
        <tr r="AW24" s="1"/>
      </tp>
      <tp t="s">
        <v>0,00 0,00</v>
        <stp/>
        <stp>DOLPT_E_0</stp>
        <stp>101_psicotrade</stp>
        <tr r="AZ13" s="1"/>
      </tp>
      <tp t="s">
        <v>-</v>
        <stp/>
        <stp>CMIG4_B_0</stp>
        <stp>IMPVT</stp>
        <tr r="AN30" s="1"/>
      </tp>
      <tp>
        <v>0</v>
        <stp/>
        <stp>PETR4_B_0</stp>
        <stp>QTE</stp>
        <tr r="Y32" s="1"/>
      </tp>
      <tp t="s">
        <v>-</v>
        <stp/>
        <stp>BRAP4_B_0</stp>
        <stp>VINT</stp>
        <tr r="AX24" s="1"/>
      </tp>
      <tp>
        <v>25250400</v>
        <stp/>
        <stp>PETR4_B_0</stp>
        <stp>QTT</stp>
        <tr r="P32" s="1"/>
      </tp>
      <tp>
        <v>100</v>
        <stp/>
        <stp>PETR4_B_0</stp>
        <stp>QUL</stp>
        <tr r="O32" s="1"/>
      </tp>
      <tp>
        <v>0</v>
        <stp/>
        <stp>ITUB4_B_0</stp>
        <stp>PEX</stp>
        <tr r="I28" s="1"/>
      </tp>
      <tp t="s">
        <v>-</v>
        <stp/>
        <stp>GFSA3_B_0</stp>
        <stp>VEN</stp>
        <tr r="AI20" s="1"/>
      </tp>
      <tp t="s">
        <v>-</v>
        <stp/>
        <stp>B3SA3_B_0</stp>
        <stp>VEN</stp>
        <tr r="AI40" s="1"/>
      </tp>
      <tp t="s">
        <v>-</v>
        <stp/>
        <stp>ITSA4_B_0</stp>
        <stp>VEN</stp>
        <tr r="AI14" s="1"/>
      </tp>
      <tp t="s">
        <v>Aberto</v>
        <stp/>
        <stp>WINFUT_F_0</stp>
        <stp>EST</stp>
        <tr r="AL42" s="1"/>
      </tp>
      <tp t="s">
        <v>Aberto</v>
        <stp/>
        <stp>WDOFUT_F_0</stp>
        <stp>EST</stp>
        <tr r="AL41" s="1"/>
      </tp>
      <tp>
        <v>-0.97524381095274393</v>
        <stp/>
        <stp>ITSA4_B_0</stp>
        <stp>VAR</stp>
        <tr r="J14" s="1"/>
      </tp>
      <tp>
        <v>-0.87514585764295294</v>
        <stp/>
        <stp>B3SA3_B_0</stp>
        <stp>VAR</stp>
        <tr r="J40" s="1"/>
      </tp>
      <tp>
        <v>-1.1271299742387376E-14</v>
        <stp/>
        <stp>GFSA3_B_0</stp>
        <stp>VAR</stp>
        <tr r="J20" s="1"/>
      </tp>
      <tp t="s">
        <v>31/12/9999</v>
        <stp/>
        <stp>GFSA3_B_0</stp>
        <stp>VAL</stp>
        <tr r="AJ20" s="1"/>
      </tp>
      <tp t="s">
        <v>31/12/9999</v>
        <stp/>
        <stp>B3SA3_B_0</stp>
        <stp>VAL</stp>
        <tr r="AJ40" s="1"/>
      </tp>
      <tp t="s">
        <v>31/12/9999</v>
        <stp/>
        <stp>ITSA4_B_0</stp>
        <stp>VAL</stp>
        <tr r="AJ14" s="1"/>
      </tp>
      <tp>
        <v>-17.20430107526882</v>
        <stp/>
        <stp>MRVE3_B_0</stp>
        <stp>SEM</stp>
        <tr r="AA21" s="1"/>
      </tp>
      <tp>
        <v>19.48</v>
        <stp/>
        <stp>BBDC4_B_0</stp>
        <stp>ABE</stp>
        <tr r="E22" s="1"/>
      </tp>
      <tp>
        <v>50400</v>
        <stp/>
        <stp>ITSA4_B_0</stp>
        <stp>VOV</stp>
        <tr r="U14" s="1"/>
      </tp>
      <tp>
        <v>24200</v>
        <stp/>
        <stp>GFSA3_B_0</stp>
        <stp>VOV</stp>
        <tr r="U20" s="1"/>
      </tp>
      <tp>
        <v>18400</v>
        <stp/>
        <stp>B3SA3_B_0</stp>
        <stp>VOV</stp>
        <tr r="U40" s="1"/>
      </tp>
      <tp>
        <v>1236468</v>
        <stp/>
        <stp>GFSA3_B_0</stp>
        <stp>VOL</stp>
        <tr r="Q20" s="1"/>
      </tp>
      <tp>
        <v>231342569</v>
        <stp/>
        <stp>B3SA3_B_0</stp>
        <stp>VOL</stp>
        <tr r="Q40" s="1"/>
      </tp>
      <tp>
        <v>69100</v>
        <stp/>
        <stp>ITSA4_B_0</stp>
        <stp>VOC</stp>
        <tr r="T14" s="1"/>
      </tp>
      <tp>
        <v>135703682</v>
        <stp/>
        <stp>ITSA4_B_0</stp>
        <stp>VOL</stp>
        <tr r="Q14" s="1"/>
      </tp>
      <tp>
        <v>21200</v>
        <stp/>
        <stp>B3SA3_B_0</stp>
        <stp>VOC</stp>
        <tr r="T40" s="1"/>
      </tp>
      <tp>
        <v>500</v>
        <stp/>
        <stp>GFSA3_B_0</stp>
        <stp>VOC</stp>
        <tr r="T20" s="1"/>
      </tp>
      <tp>
        <v>0</v>
        <stp/>
        <stp>IBOV_B_0</stp>
        <stp>CAB</stp>
        <tr r="AK34" s="1"/>
      </tp>
      <tp>
        <v>4.7584933733777968</v>
        <stp/>
        <stp>BBDC4_B_0</stp>
        <stp>ANO</stp>
        <tr r="AF22" s="1"/>
      </tp>
      <tp t="s">
        <v>-</v>
        <stp/>
        <stp>ITSA4_B_0</stp>
        <stp>VIA</stp>
        <tr r="AT14" s="1"/>
      </tp>
      <tp t="s">
        <v>-</v>
        <stp/>
        <stp>ITSA4_B_0</stp>
        <stp>VIB</stp>
        <tr r="AU14" s="1"/>
      </tp>
      <tp t="s">
        <v>-</v>
        <stp/>
        <stp>B3SA3_B_0</stp>
        <stp>VIA</stp>
        <tr r="AT40" s="1"/>
      </tp>
      <tp t="s">
        <v>-</v>
        <stp/>
        <stp>B3SA3_B_0</stp>
        <stp>VIB</stp>
        <tr r="AU40" s="1"/>
      </tp>
      <tp t="s">
        <v>-</v>
        <stp/>
        <stp>GFSA3_B_0</stp>
        <stp>VIA</stp>
        <tr r="AT20" s="1"/>
      </tp>
      <tp t="s">
        <v>-</v>
        <stp/>
        <stp>GFSA3_B_0</stp>
        <stp>VIB</stp>
        <tr r="AU20" s="1"/>
      </tp>
      <tp>
        <v>0</v>
        <stp/>
        <stp>BBDC4_B_0</stp>
        <stp>AJU</stp>
        <tr r="V22" s="1"/>
      </tp>
      <tp>
        <v>0</v>
        <stp/>
        <stp>BBDC4_B_0</stp>
        <stp>AJA</stp>
        <tr r="W22" s="1"/>
      </tp>
      <tp t="s">
        <v>-</v>
        <stp/>
        <stp>DOLPT_E_0</stp>
        <stp>VIVH</stp>
        <tr r="AW13" s="1"/>
      </tp>
      <tp t="s">
        <v>-</v>
        <stp/>
        <stp>DOLPT_E_0</stp>
        <stp>VINT</stp>
        <tr r="AX13" s="1"/>
      </tp>
      <tp>
        <v>-945</v>
        <stp/>
        <stp>WINFUT_F_0</stp>
        <stp>VARPTS</stp>
        <tr r="K42" s="1"/>
      </tp>
      <tp t="s">
        <v>-</v>
        <stp/>
        <stp>DOLFUT_F_0</stp>
        <stp>DOBRAR</stp>
        <tr r="AV33" s="1"/>
      </tp>
      <tp t="s">
        <v>0,00 0,00</v>
        <stp/>
        <stp>BITFUT_F_0</stp>
        <stp>101_psicotrade</stp>
        <tr r="AZ43" s="1"/>
      </tp>
      <tp>
        <v>0.29837043837503457</v>
        <stp/>
        <stp>RENT3_B_0</stp>
        <stp>TRIM</stp>
        <tr r="AG23" s="1"/>
      </tp>
      <tp>
        <v>45080</v>
        <stp/>
        <stp>PETR4_B_0</stp>
        <stp>NEG</stp>
        <tr r="N32" s="1"/>
      </tp>
      <tp>
        <v>-1.4893617021276655</v>
        <stp/>
        <stp>MGLU3_B_0</stp>
        <stp>VAR</stp>
        <tr r="J27" s="1"/>
      </tp>
      <tp>
        <v>42.5</v>
        <stp/>
        <stp>ITUB4_B_0</stp>
        <stp>OVD</stp>
        <tr r="S28" s="1"/>
      </tp>
      <tp t="s">
        <v>31/12/9999</v>
        <stp/>
        <stp>MGLU3_B_0</stp>
        <stp>VAL</stp>
        <tr r="AJ27" s="1"/>
      </tp>
      <tp>
        <v>864579793.00160515</v>
        <stp/>
        <stp>VALE3_B_0</stp>
        <stp>VPJ</stp>
        <tr r="Z26" s="1"/>
      </tp>
      <tp>
        <v>24.092165452184105</v>
        <stp/>
        <stp>VIVT3_B_0</stp>
        <stp>TRIM</stp>
        <tr r="AG12" s="1"/>
      </tp>
      <tp t="s">
        <v>-</v>
        <stp/>
        <stp>GFSA3_B_0</stp>
        <stp>DELTA</stp>
        <tr r="AO20" s="1"/>
      </tp>
      <tp t="s">
        <v>-</v>
        <stp/>
        <stp>BBDC4_B_0</stp>
        <stp>VEXT</stp>
        <tr r="AY22" s="1"/>
      </tp>
      <tp t="s">
        <v>-</v>
        <stp/>
        <stp>MGLU3_B_0</stp>
        <stp>VEN</stp>
        <tr r="AI27" s="1"/>
      </tp>
      <tp>
        <v>9.01</v>
        <stp/>
        <stp>ECOR3_B_0</stp>
        <stp>ULT</stp>
        <tr r="D19" s="1"/>
      </tp>
      <tp t="s">
        <v>-</v>
        <stp/>
        <stp>MGLU3_B_0</stp>
        <stp>VIB</stp>
        <tr r="AU27" s="1"/>
      </tp>
      <tp t="s">
        <v>-</v>
        <stp/>
        <stp>MGLU3_B_0</stp>
        <stp>VIA</stp>
        <tr r="AT27" s="1"/>
      </tp>
      <tp>
        <v>10400</v>
        <stp/>
        <stp>MGLU3_B_0</stp>
        <stp>VOV</stp>
        <tr r="U27" s="1"/>
      </tp>
      <tp>
        <v>6100</v>
        <stp/>
        <stp>MGLU3_B_0</stp>
        <stp>VOC</stp>
        <tr r="T27" s="1"/>
      </tp>
      <tp>
        <v>310692497</v>
        <stp/>
        <stp>MGLU3_B_0</stp>
        <stp>VOL</stp>
        <tr r="Q27" s="1"/>
      </tp>
      <tp t="s">
        <v>31/12/9999</v>
        <stp/>
        <stp>VALE3_B_0</stp>
        <stp>VAL</stp>
        <tr r="AJ26" s="1"/>
      </tp>
      <tp t="s">
        <v>-</v>
        <stp/>
        <stp>CMIG4_B_0</stp>
        <stp>GAMA</stp>
        <tr r="AP30" s="1"/>
      </tp>
      <tp>
        <v>-0.66885411408381534</v>
        <stp/>
        <stp>VALE3_B_0</stp>
        <stp>VAR</stp>
        <tr r="J26" s="1"/>
      </tp>
      <tp>
        <v>0</v>
        <stp/>
        <stp>DOLPT_E_0</stp>
        <stp>QTT</stp>
        <tr r="P13" s="1"/>
      </tp>
      <tp>
        <v>0</v>
        <stp/>
        <stp>DOLPT_E_0</stp>
        <stp>QTE</stp>
        <tr r="Y13" s="1"/>
      </tp>
      <tp>
        <v>358893948.08278519</v>
        <stp/>
        <stp>MGLU3_B_0</stp>
        <stp>VPJ</stp>
        <tr r="Z27" s="1"/>
      </tp>
      <tp>
        <v>0</v>
        <stp/>
        <stp>DOLPT_E_0</stp>
        <stp>QUL</stp>
        <tr r="O13" s="1"/>
      </tp>
      <tp>
        <v>2.1626297577854672</v>
        <stp/>
        <stp>CMIG4_B_0</stp>
        <stp>SEM</stp>
        <tr r="AA30" s="1"/>
      </tp>
      <tp t="s">
        <v>-</v>
        <stp/>
        <stp>VALE3_B_0</stp>
        <stp>VEN</stp>
        <tr r="AI26" s="1"/>
      </tp>
      <tp t="s">
        <v>-</v>
        <stp/>
        <stp>ITUB4_B_0</stp>
        <stp>THETA</stp>
        <tr r="AQ28" s="1"/>
      </tp>
      <tp t="s">
        <v>-</v>
        <stp/>
        <stp>ITSA4_B_0</stp>
        <stp>THETA</stp>
        <tr r="AQ14" s="1"/>
      </tp>
      <tp>
        <v>42.49</v>
        <stp/>
        <stp>ITUB4_B_0</stp>
        <stp>OCP</stp>
        <tr r="R28" s="1"/>
      </tp>
      <tp t="s">
        <v>-</v>
        <stp/>
        <stp>BBDC4_B_0</stp>
        <stp>VEGA</stp>
        <tr r="AS22" s="1"/>
      </tp>
      <tp t="s">
        <v>-</v>
        <stp/>
        <stp>VALE3_B_0</stp>
        <stp>VIA</stp>
        <tr r="AT26" s="1"/>
      </tp>
      <tp t="s">
        <v>-</v>
        <stp/>
        <stp>VALE3_B_0</stp>
        <stp>VIB</stp>
        <tr r="AU26" s="1"/>
      </tp>
      <tp>
        <v>748101682</v>
        <stp/>
        <stp>VALE3_B_0</stp>
        <stp>VOL</stp>
        <tr r="Q26" s="1"/>
      </tp>
      <tp t="s">
        <v>15:11:39</v>
        <stp/>
        <stp>CYRE3_B_0</stp>
        <stp>HOR</stp>
        <tr r="C15" s="1"/>
      </tp>
      <tp>
        <v>600</v>
        <stp/>
        <stp>VALE3_B_0</stp>
        <stp>VOC</stp>
        <tr r="T26" s="1"/>
      </tp>
      <tp>
        <v>500</v>
        <stp/>
        <stp>VALE3_B_0</stp>
        <stp>VOV</stp>
        <tr r="U26" s="1"/>
      </tp>
      <tp>
        <v>-1.8433179723502453</v>
        <stp/>
        <stp>USIM5_B_0</stp>
        <stp>SEM</stp>
        <tr r="AA35" s="1"/>
      </tp>
      <tp>
        <v>-0.21000000000000796</v>
        <stp/>
        <stp>SUZB3_B_0</stp>
        <stp>VARPTS</stp>
        <tr r="K29" s="1"/>
      </tp>
      <tp t="s">
        <v>-</v>
        <stp/>
        <stp>BITFUT_F_0</stp>
        <stp>GAMA</stp>
        <tr r="AP43" s="1"/>
      </tp>
      <tp t="s">
        <v>-</v>
        <stp/>
        <stp>LREN3_B_0</stp>
        <stp>VIVH</stp>
        <tr r="AW17" s="1"/>
      </tp>
      <tp>
        <v>41.38</v>
        <stp/>
        <stp>VIVT3_B_0</stp>
        <stp>MAX</stp>
        <tr r="F12" s="1"/>
      </tp>
      <tp>
        <v>0</v>
        <stp/>
        <stp>DOLPT_E_0</stp>
        <stp>PEX</stp>
        <tr r="I13" s="1"/>
      </tp>
      <tp>
        <v>41.016949541284404</v>
        <stp/>
        <stp>VIVT3_B_0</stp>
        <stp>MED</stp>
        <tr r="L12" s="1"/>
      </tp>
      <tp>
        <v>44.67</v>
        <stp/>
        <stp>PETR4_B_0</stp>
        <stp>OCP</stp>
        <tr r="R32" s="1"/>
      </tp>
      <tp>
        <v>-5.0717924965261645</v>
        <stp/>
        <stp>VIVT3_B_0</stp>
        <stp>MES</stp>
        <tr r="AB12" s="1"/>
      </tp>
      <tp>
        <v>40.630000000000003</v>
        <stp/>
        <stp>VIVT3_B_0</stp>
        <stp>MIN</stp>
        <tr r="G12" s="1"/>
      </tp>
      <tp t="s">
        <v>-</v>
        <stp/>
        <stp>ITUB4_B_0</stp>
        <stp>VEXT</stp>
        <tr r="AY28" s="1"/>
      </tp>
      <tp>
        <v>43.7</v>
        <stp/>
        <stp>RENT3_B_0</stp>
        <stp>ULT</stp>
        <tr r="D23" s="1"/>
      </tp>
      <tp t="s">
        <v>-</v>
        <stp/>
        <stp>SUZB3_B_0</stp>
        <stp>VEGA</stp>
        <tr r="AS29" s="1"/>
      </tp>
      <tp t="s">
        <v>-</v>
        <stp/>
        <stp>SUZB3_B_0</stp>
        <stp>VEXT</stp>
        <tr r="AY29" s="1"/>
      </tp>
      <tp>
        <v>20334</v>
        <stp/>
        <stp>ITUB4_B_0</stp>
        <stp>NEG</stp>
        <tr r="N28" s="1"/>
      </tp>
      <tp t="s">
        <v>-</v>
        <stp/>
        <stp>ITUB4_B_0</stp>
        <stp>VEGA</stp>
        <tr r="AS28" s="1"/>
      </tp>
      <tp>
        <v>44.68</v>
        <stp/>
        <stp>PETR4_B_0</stp>
        <stp>OVD</stp>
        <tr r="S32" s="1"/>
      </tp>
      <tp>
        <v>8.25</v>
        <stp/>
        <stp>MRVE3_B_0</stp>
        <stp>MAX</stp>
        <tr r="F21" s="1"/>
      </tp>
      <tp>
        <v>-9.9189717798267605</v>
        <stp/>
        <stp>GOAU4_B_0</stp>
        <stp>TRIM</stp>
        <tr r="AG39" s="1"/>
      </tp>
      <tp t="s">
        <v>-</v>
        <stp/>
        <stp>USIM5_B_0</stp>
        <stp>RHO</stp>
        <tr r="AR35" s="1"/>
      </tp>
      <tp>
        <v>0</v>
        <stp/>
        <stp>DOLPT_E_0</stp>
        <stp>PRT</stp>
        <tr r="X13" s="1"/>
      </tp>
      <tp>
        <v>-63.177570093457959</v>
        <stp/>
        <stp>GFSA3_B_0</stp>
        <stp>SEMES</stp>
        <tr r="AH20" s="1"/>
      </tp>
      <tp>
        <v>-24.8046875</v>
        <stp/>
        <stp>MRVE3_B_0</stp>
        <stp>MES</stp>
        <tr r="AB21" s="1"/>
      </tp>
      <tp>
        <v>53.42</v>
        <stp/>
        <stp>SUZB3_B_0</stp>
        <stp>ABE</stp>
        <tr r="E29" s="1"/>
      </tp>
      <tp>
        <v>7.8732480060290149</v>
        <stp/>
        <stp>MRVE3_B_0</stp>
        <stp>MED</stp>
        <tr r="L21" s="1"/>
      </tp>
      <tp t="s">
        <v>15:11:37</v>
        <stp/>
        <stp>ITSA4_B_0</stp>
        <stp>HOR</stp>
        <tr r="C14" s="1"/>
      </tp>
      <tp t="s">
        <v>15:11:39</v>
        <stp/>
        <stp>B3SA3_B_0</stp>
        <stp>HOR</stp>
        <tr r="C40" s="1"/>
      </tp>
      <tp t="s">
        <v>15:10:12</v>
        <stp/>
        <stp>GFSA3_B_0</stp>
        <stp>HOR</stp>
        <tr r="C20" s="1"/>
      </tp>
      <tp t="s">
        <v>-</v>
        <stp/>
        <stp>CMIG4_B_0</stp>
        <stp>RHO</stp>
        <tr r="AR30" s="1"/>
      </tp>
      <tp t="s">
        <v>-</v>
        <stp/>
        <stp>LREN3_B_0</stp>
        <stp>VINT</stp>
        <tr r="AX17" s="1"/>
      </tp>
      <tp>
        <v>3.5179786200194267</v>
        <stp/>
        <stp>SUZB3_B_0</stp>
        <stp>ANO</stp>
        <tr r="AF29" s="1"/>
      </tp>
      <tp>
        <v>7.61</v>
        <stp/>
        <stp>MRVE3_B_0</stp>
        <stp>MIN</stp>
        <tr r="G21" s="1"/>
      </tp>
      <tp>
        <v>5.71</v>
        <stp/>
        <stp>CSNA3_B_0</stp>
        <stp>ULT</stp>
        <tr r="D16" s="1"/>
      </tp>
      <tp>
        <v>0</v>
        <stp/>
        <stp>SUZB3_B_0</stp>
        <stp>AJA</stp>
        <tr r="W29" s="1"/>
      </tp>
      <tp>
        <v>0</v>
        <stp/>
        <stp>SUZB3_B_0</stp>
        <stp>AJU</stp>
        <tr r="V29" s="1"/>
      </tp>
      <tp>
        <v>3.5794183445189982</v>
        <stp/>
        <stp>MGLU3_B_0</stp>
        <stp>TRIM</stp>
        <tr r="AG27" s="1"/>
      </tp>
      <tp t="s">
        <v>-</v>
        <stp/>
        <stp>IBOV_B_0</stp>
        <stp>VINT</stp>
        <tr r="AX34" s="1"/>
      </tp>
      <tp t="s">
        <v>-</v>
        <stp/>
        <stp>IBOV_B_0</stp>
        <stp>VIVH</stp>
        <tr r="AW34" s="1"/>
      </tp>
      <tp>
        <v>-0.13000000000000078</v>
        <stp/>
        <stp>ITSA4_B_0</stp>
        <stp>VARPTS</stp>
        <tr r="K14" s="1"/>
      </tp>
      <tp>
        <v>-0.20000000000000284</v>
        <stp/>
        <stp>ITUB4_B_0</stp>
        <stp>VARPTS</stp>
        <tr r="K28" s="1"/>
      </tp>
      <tp t="s">
        <v>-</v>
        <stp/>
        <stp>INDFUT_F_0</stp>
        <stp>VINT</stp>
        <tr r="AX36" s="1"/>
      </tp>
      <tp t="s">
        <v>-</v>
        <stp/>
        <stp>INDFUT_F_0</stp>
        <stp>VIVH</stp>
        <tr r="AW36" s="1"/>
      </tp>
      <tp t="s">
        <v>-</v>
        <stp/>
        <stp>CSNA3_B_0</stp>
        <stp>VEXT</stp>
        <tr r="AY16" s="1"/>
      </tp>
      <tp t="s">
        <v>-</v>
        <stp/>
        <stp>VALE3_B_0</stp>
        <stp>GAMA</stp>
        <tr r="AP26" s="1"/>
      </tp>
      <tp t="s">
        <v>-</v>
        <stp/>
        <stp>BBDC4_B_0</stp>
        <stp>DELTA</stp>
        <tr r="AO22" s="1"/>
      </tp>
      <tp t="s">
        <v>0,00 0,00</v>
        <stp/>
        <stp>BRAP4_B_0</stp>
        <stp>101_psicotrade</stp>
        <tr r="AZ24" s="1"/>
      </tp>
      <tp t="s">
        <v>-</v>
        <stp/>
        <stp>B3SA3_B_0</stp>
        <stp>VEXT</stp>
        <tr r="AY40" s="1"/>
      </tp>
      <tp t="s">
        <v>-</v>
        <stp/>
        <stp>ECOR3_B_0</stp>
        <stp>DELTA</stp>
        <tr r="AO19" s="1"/>
      </tp>
      <tp t="s">
        <v>31/12/9999</v>
        <stp/>
        <stp>RENT3_B_0</stp>
        <stp>VAL</stp>
        <tr r="AJ23" s="1"/>
      </tp>
      <tp>
        <v>-3.254372371042725</v>
        <stp/>
        <stp>RENT3_B_0</stp>
        <stp>VAR</stp>
        <tr r="J23" s="1"/>
      </tp>
      <tp>
        <v>-0.63738840974428101</v>
        <stp/>
        <stp>DOLPT_E_0</stp>
        <stp>SEM</stp>
        <tr r="AA13" s="1"/>
      </tp>
      <tp t="s">
        <v>-</v>
        <stp/>
        <stp>GFSA3_B_0</stp>
        <stp>VEXT</stp>
        <tr r="AY20" s="1"/>
      </tp>
      <tp>
        <v>100</v>
        <stp/>
        <stp>CMIG4_B_0</stp>
        <stp>QUL</stp>
        <tr r="O30" s="1"/>
      </tp>
      <tp t="s">
        <v>0,00 0,00</v>
        <stp/>
        <stp>LREN3_B_0</stp>
        <stp>101_psicotrade</stp>
        <tr r="AZ17" s="1"/>
      </tp>
      <tp>
        <v>6764000</v>
        <stp/>
        <stp>CMIG4_B_0</stp>
        <stp>QTT</stp>
        <tr r="P30" s="1"/>
      </tp>
      <tp>
        <v>0</v>
        <stp/>
        <stp>CMIG4_B_0</stp>
        <stp>QTE</stp>
        <tr r="Y30" s="1"/>
      </tp>
      <tp t="s">
        <v>-</v>
        <stp/>
        <stp>USIM5_B_0</stp>
        <stp>VINT</stp>
        <tr r="AX35" s="1"/>
      </tp>
      <tp t="s">
        <v>-</v>
        <stp/>
        <stp>BRFS3_B_0</stp>
        <stp>101_psicotrade</stp>
        <tr r="AZ31" s="1"/>
      </tp>
      <tp t="s">
        <v>-</v>
        <stp/>
        <stp>RENT3_B_0</stp>
        <stp>VEN</stp>
        <tr r="AI23" s="1"/>
      </tp>
      <tp>
        <v>10100</v>
        <stp/>
        <stp>VIVT3_B_0</stp>
        <stp>NEG</stp>
        <tr r="N12" s="1"/>
      </tp>
      <tp>
        <v>152490680.57115355</v>
        <stp/>
        <stp>CSNA3_B_0</stp>
        <stp>VPJ</stp>
        <tr r="Z16" s="1"/>
      </tp>
      <tp t="s">
        <v>-</v>
        <stp/>
        <stp>RENT3_B_0</stp>
        <stp>VIA</stp>
        <tr r="AT23" s="1"/>
      </tp>
      <tp t="s">
        <v>-</v>
        <stp/>
        <stp>RENT3_B_0</stp>
        <stp>VIB</stp>
        <tr r="AU23" s="1"/>
      </tp>
      <tp>
        <v>273338169</v>
        <stp/>
        <stp>RENT3_B_0</stp>
        <stp>VOL</stp>
        <tr r="Q23" s="1"/>
      </tp>
      <tp>
        <v>300</v>
        <stp/>
        <stp>RENT3_B_0</stp>
        <stp>VOC</stp>
        <tr r="T23" s="1"/>
      </tp>
      <tp t="s">
        <v>-</v>
        <stp/>
        <stp>ITSA4_B_0</stp>
        <stp>VEXT</stp>
        <tr r="AY14" s="1"/>
      </tp>
      <tp>
        <v>3600</v>
        <stp/>
        <stp>RENT3_B_0</stp>
        <stp>VOV</stp>
        <tr r="U23" s="1"/>
      </tp>
      <tp>
        <v>100</v>
        <stp/>
        <stp>USIM5_B_0</stp>
        <stp>QUL</stp>
        <tr r="O35" s="1"/>
      </tp>
      <tp>
        <v>0</v>
        <stp/>
        <stp>USIM5_B_0</stp>
        <stp>QTE</stp>
        <tr r="Y35" s="1"/>
      </tp>
      <tp>
        <v>6240100</v>
        <stp/>
        <stp>USIM5_B_0</stp>
        <stp>QTT</stp>
        <tr r="P35" s="1"/>
      </tp>
      <tp t="s">
        <v>-</v>
        <stp/>
        <stp>EMBR3_B_0</stp>
        <stp>DELTA</stp>
        <tr r="AO11" s="1"/>
      </tp>
      <tp t="s">
        <v>-</v>
        <stp/>
        <stp>BRAP4_B_0</stp>
        <stp>DELTA</stp>
        <tr r="AO24" s="1"/>
      </tp>
      <tp t="s">
        <v>-</v>
        <stp/>
        <stp>LREN3_B_0</stp>
        <stp>THETA</stp>
        <tr r="AQ17" s="1"/>
      </tp>
      <tp>
        <v>-9.1404804926814194</v>
        <stp/>
        <stp>ITUB4_B_0</stp>
        <stp>MES</stp>
        <tr r="AB28" s="1"/>
      </tp>
      <tp>
        <v>42.791355096387484</v>
        <stp/>
        <stp>ITUB4_B_0</stp>
        <stp>MED</stp>
        <tr r="L28" s="1"/>
      </tp>
      <tp t="s">
        <v>-</v>
        <stp/>
        <stp>ITSA4_B_0</stp>
        <stp>VEGA</stp>
        <tr r="AS14" s="1"/>
      </tp>
      <tp>
        <v>315879538.30185652</v>
        <stp/>
        <stp>RENT3_B_0</stp>
        <stp>VPJ</stp>
        <tr r="Z23" s="1"/>
      </tp>
      <tp t="s">
        <v>-</v>
        <stp/>
        <stp>CSNA3_B_0</stp>
        <stp>VEN</stp>
        <tr r="AI16" s="1"/>
      </tp>
      <tp>
        <v>9.0187590187590061</v>
        <stp/>
        <stp>ABEV3_B_0</stp>
        <stp>TRIM</stp>
        <tr r="AG38" s="1"/>
      </tp>
      <tp>
        <v>43.35</v>
        <stp/>
        <stp>ITUB4_B_0</stp>
        <stp>MAX</stp>
        <tr r="F28" s="1"/>
      </tp>
      <tp t="s">
        <v>-</v>
        <stp/>
        <stp>CYRE3_B_0</stp>
        <stp>GAMA</stp>
        <tr r="AP15" s="1"/>
      </tp>
      <tp t="s">
        <v>0,00 0,00</v>
        <stp/>
        <stp>MRVE3_B_0</stp>
        <stp>101_psicotrade</stp>
        <tr r="AZ21" s="1"/>
      </tp>
      <tp>
        <v>-6.393442622950829</v>
        <stp/>
        <stp>CSNA3_B_0</stp>
        <stp>VAR</stp>
        <tr r="J16" s="1"/>
      </tp>
      <tp>
        <v>16017</v>
        <stp/>
        <stp>MRVE3_B_0</stp>
        <stp>NEG</stp>
        <tr r="N21" s="1"/>
      </tp>
      <tp t="s">
        <v>31/12/9999</v>
        <stp/>
        <stp>CSNA3_B_0</stp>
        <stp>VAL</stp>
        <tr r="AJ16" s="1"/>
      </tp>
      <tp>
        <v>58900</v>
        <stp/>
        <stp>CSNA3_B_0</stp>
        <stp>VOV</stp>
        <tr r="U16" s="1"/>
      </tp>
      <tp>
        <v>132010335</v>
        <stp/>
        <stp>CSNA3_B_0</stp>
        <stp>VOL</stp>
        <tr r="Q16" s="1"/>
      </tp>
      <tp>
        <v>23900</v>
        <stp/>
        <stp>CSNA3_B_0</stp>
        <stp>VOC</stp>
        <tr r="T16" s="1"/>
      </tp>
      <tp t="s">
        <v>-</v>
        <stp/>
        <stp>MRVE3_B_0</stp>
        <stp>GAMA</stp>
        <tr r="AP21" s="1"/>
      </tp>
      <tp t="s">
        <v>-</v>
        <stp/>
        <stp>GFSA3_B_0</stp>
        <stp>VEGA</stp>
        <tr r="AS20" s="1"/>
      </tp>
      <tp>
        <v>42.33</v>
        <stp/>
        <stp>ITUB4_B_0</stp>
        <stp>MIN</stp>
        <tr r="G28" s="1"/>
      </tp>
      <tp t="s">
        <v>-</v>
        <stp/>
        <stp>USIM5_B_0</stp>
        <stp>VIVH</stp>
        <tr r="AW35" s="1"/>
      </tp>
      <tp t="s">
        <v>-</v>
        <stp/>
        <stp>CSNA3_B_0</stp>
        <stp>VIA</stp>
        <tr r="AT16" s="1"/>
      </tp>
      <tp t="s">
        <v>-</v>
        <stp/>
        <stp>CSNA3_B_0</stp>
        <stp>VIB</stp>
        <tr r="AU16" s="1"/>
      </tp>
      <tp t="s">
        <v>-</v>
        <stp/>
        <stp>B3SA3_B_0</stp>
        <stp>VEGA</stp>
        <tr r="AS40" s="1"/>
      </tp>
      <tp>
        <v>5.4464285714285658</v>
        <stp/>
        <stp>CMIG4_B_0</stp>
        <stp>SEMES</stp>
        <tr r="AH30" s="1"/>
      </tp>
      <tp t="s">
        <v>-</v>
        <stp/>
        <stp>CSNA3_B_0</stp>
        <stp>VEGA</stp>
        <tr r="AS16" s="1"/>
      </tp>
      <tp t="s">
        <v>-</v>
        <stp/>
        <stp>SUZB3_B_0</stp>
        <stp>DOBRAR</stp>
        <tr r="AV29" s="1"/>
      </tp>
      <tp t="s">
        <v>-</v>
        <stp/>
        <stp>DOLFUT_F_0</stp>
        <stp>VEGA</stp>
        <tr r="AS33" s="1"/>
      </tp>
      <tp t="s">
        <v>-</v>
        <stp/>
        <stp>DOLFUT_F_0</stp>
        <stp>VEXT</stp>
        <tr r="AY33" s="1"/>
      </tp>
      <tp>
        <v>44.679437395051167</v>
        <stp/>
        <stp>PETR4_B_0</stp>
        <stp>MED</stp>
        <tr r="L32" s="1"/>
      </tp>
      <tp t="s">
        <v>-</v>
        <stp/>
        <stp>ECOR3_B_0</stp>
        <stp>VEN</stp>
        <tr r="AI19" s="1"/>
      </tp>
      <tp>
        <v>40.980000000000004</v>
        <stp/>
        <stp>VIVT3_B_0</stp>
        <stp>OCP</stp>
        <tr r="R12" s="1"/>
      </tp>
      <tp>
        <v>13.602847698957524</v>
        <stp/>
        <stp>PETR4_B_0</stp>
        <stp>MES</stp>
        <tr r="AB32" s="1"/>
      </tp>
      <tp>
        <v>11.407035175879393</v>
        <stp/>
        <stp>BRAP4_B_0</stp>
        <stp>SEMES</stp>
        <tr r="AH24" s="1"/>
      </tp>
      <tp>
        <v>0</v>
        <stp/>
        <stp>CMIG4_B_0</stp>
        <stp>PRT</stp>
        <tr r="X30" s="1"/>
      </tp>
      <tp>
        <v>-1.6375545851528424</v>
        <stp/>
        <stp>ECOR3_B_0</stp>
        <stp>VAR</stp>
        <tr r="J19" s="1"/>
      </tp>
      <tp>
        <v>7.71</v>
        <stp/>
        <stp>MRVE3_B_0</stp>
        <stp>OVD</stp>
        <tr r="S21" s="1"/>
      </tp>
      <tp t="s">
        <v>31/12/9999</v>
        <stp/>
        <stp>ECOR3_B_0</stp>
        <stp>VAL</stp>
        <tr r="AJ19" s="1"/>
      </tp>
      <tp>
        <v>45.34</v>
        <stp/>
        <stp>PETR4_B_0</stp>
        <stp>MAX</stp>
        <tr r="F32" s="1"/>
      </tp>
      <tp t="s">
        <v>-</v>
        <stp/>
        <stp>MGLU3_B_0</stp>
        <stp>THETA</stp>
        <tr r="AQ27" s="1"/>
      </tp>
      <tp t="s">
        <v>0,00 0,00</v>
        <stp/>
        <stp>USIM5_B_0</stp>
        <stp>101_psicotrade</stp>
        <tr r="AZ35" s="1"/>
      </tp>
      <tp>
        <v>0</v>
        <stp/>
        <stp>USIM5_B_0</stp>
        <stp>PRT</stp>
        <tr r="X35" s="1"/>
      </tp>
      <tp>
        <v>10000</v>
        <stp/>
        <stp>ECOR3_B_0</stp>
        <stp>VOV</stp>
        <tr r="U19" s="1"/>
      </tp>
      <tp>
        <v>124562958</v>
        <stp/>
        <stp>ECOR3_B_0</stp>
        <stp>VOL</stp>
        <tr r="Q19" s="1"/>
      </tp>
      <tp>
        <v>7700</v>
        <stp/>
        <stp>ECOR3_B_0</stp>
        <stp>VOC</stp>
        <tr r="T19" s="1"/>
      </tp>
      <tp>
        <v>44.29</v>
        <stp/>
        <stp>PETR4_B_0</stp>
        <stp>MIN</stp>
        <tr r="G32" s="1"/>
      </tp>
      <tp t="s">
        <v>-</v>
        <stp/>
        <stp>ECOR3_B_0</stp>
        <stp>VIB</stp>
        <tr r="AU19" s="1"/>
      </tp>
      <tp t="s">
        <v>-</v>
        <stp/>
        <stp>ECOR3_B_0</stp>
        <stp>VIA</stp>
        <tr r="AT19" s="1"/>
      </tp>
      <tp t="s">
        <v>0,00 0,00</v>
        <stp/>
        <stp>CSNA3_B_0</stp>
        <stp>101_psicotrade</stp>
        <tr r="AZ16" s="1"/>
      </tp>
      <tp t="s">
        <v>-</v>
        <stp/>
        <stp>CIEL3_B_0</stp>
        <stp>VIVH</stp>
        <tr r="AW18" s="1"/>
      </tp>
      <tp t="s">
        <v>-</v>
        <stp/>
        <stp>DOLPT_E_0</stp>
        <stp>RHO</stp>
        <tr r="AR13" s="1"/>
      </tp>
      <tp>
        <v>9.26</v>
        <stp/>
        <stp>MGLU3_B_0</stp>
        <stp>ULT</stp>
        <tr r="D27" s="1"/>
      </tp>
      <tp t="s">
        <v>-</v>
        <stp/>
        <stp>CMIG4_B_0</stp>
        <stp>DELTA</stp>
        <tr r="AO30" s="1"/>
      </tp>
      <tp>
        <v>7.7</v>
        <stp/>
        <stp>MRVE3_B_0</stp>
        <stp>OCP</stp>
        <tr r="R21" s="1"/>
      </tp>
      <tp>
        <v>-15</v>
        <stp/>
        <stp>ECOR3_B_0</stp>
        <stp>SEMES</stp>
        <tr r="AH19" s="1"/>
      </tp>
      <tp t="s">
        <v>-</v>
        <stp/>
        <stp>MRVE3_B_0</stp>
        <stp>THETA</stp>
        <tr r="AQ21" s="1"/>
      </tp>
      <tp>
        <v>4.7584933733777968</v>
        <stp/>
        <stp>BBDC4_B_0</stp>
        <stp>SEMES</stp>
        <tr r="AH22" s="1"/>
      </tp>
      <tp>
        <v>0</v>
        <stp/>
        <stp>CMIG4_B_0</stp>
        <stp>PEX</stp>
        <tr r="I30" s="1"/>
      </tp>
      <tp>
        <v>40.99</v>
        <stp/>
        <stp>VIVT3_B_0</stp>
        <stp>OVD</stp>
        <tr r="S12" s="1"/>
      </tp>
      <tp>
        <v>143887902.71137494</v>
        <stp/>
        <stp>ECOR3_B_0</stp>
        <stp>VPJ</stp>
        <tr r="Z19" s="1"/>
      </tp>
      <tp>
        <v>0</v>
        <stp/>
        <stp>SUZB3_B_0</stp>
        <stp>CAB</stp>
        <tr r="AK29" s="1"/>
      </tp>
      <tp t="s">
        <v>-</v>
        <stp/>
        <stp>CIEL3_B_0</stp>
        <stp>VINT</stp>
        <tr r="AX18" s="1"/>
      </tp>
      <tp>
        <v>0</v>
        <stp/>
        <stp>USIM5_B_0</stp>
        <stp>PEX</stp>
        <tr r="I35" s="1"/>
      </tp>
      <tp>
        <v>0</v>
        <stp/>
        <stp>EMBR3_B_0</stp>
        <stp>SEMES</stp>
        <tr r="AH11" s="1"/>
      </tp>
      <tp>
        <v>78.709999999999994</v>
        <stp/>
        <stp>VALE3_B_0</stp>
        <stp>ULT</stp>
        <tr r="D26" s="1"/>
      </tp>
      <tp t="s">
        <v>-</v>
        <stp/>
        <stp>ITUB4_B_0</stp>
        <stp>DOBRAR</stp>
        <tr r="AV28" s="1"/>
      </tp>
      <tp t="s">
        <v>-</v>
        <stp/>
        <stp>ITSA4_B_0</stp>
        <stp>DOBRAR</stp>
        <tr r="AV14" s="1"/>
      </tp>
      <tp>
        <v>0</v>
        <stp/>
        <stp>BRFS3_B_0</stp>
        <stp>SEMES</stp>
        <tr r="AH31" s="1"/>
      </tp>
      <tp t="s">
        <v>-</v>
        <stp/>
        <stp>ITSA4_B_0</stp>
        <stp>BLACK</stp>
        <tr r="AM14" s="1"/>
      </tp>
      <tp t="s">
        <v>-</v>
        <stp/>
        <stp>ITUB4_B_0</stp>
        <stp>BLACK</stp>
        <tr r="AM28" s="1"/>
      </tp>
      <tp>
        <v>0</v>
        <stp/>
        <stp>CSNA3_B_0</stp>
        <stp>PRT</stp>
        <tr r="X16" s="1"/>
      </tp>
      <tp t="s">
        <v>-</v>
        <stp/>
        <stp>CMIG4_B_0</stp>
        <stp>VEXT</stp>
        <tr r="AY30" s="1"/>
      </tp>
      <tp>
        <v>0</v>
        <stp/>
        <stp>RENT3_B_0</stp>
        <stp>PEX</stp>
        <tr r="I23" s="1"/>
      </tp>
      <tp>
        <v>5.2534999999999998</v>
        <stp/>
        <stp>DOLPT_E_0</stp>
        <stp>ULT</stp>
        <tr r="D13" s="1"/>
      </tp>
      <tp t="s">
        <v>-</v>
        <stp/>
        <stp>MGLU3_B_0</stp>
        <stp>RHO</stp>
        <tr r="AR27" s="1"/>
      </tp>
      <tp t="s">
        <v>-</v>
        <stp/>
        <stp>CIEL3_B_0</stp>
        <stp>DELTA</stp>
        <tr r="AO18" s="1"/>
      </tp>
      <tp t="s">
        <v>15:11:36</v>
        <stp/>
        <stp>VIVT3_B_0</stp>
        <stp>HOR</stp>
        <tr r="C12" s="1"/>
      </tp>
      <tp>
        <v>13513800</v>
        <stp/>
        <stp>ECOR3_B_0</stp>
        <stp>QTT</stp>
        <tr r="P19" s="1"/>
      </tp>
      <tp>
        <v>0</v>
        <stp/>
        <stp>ECOR3_B_0</stp>
        <stp>QTE</stp>
        <tr r="Y19" s="1"/>
      </tp>
      <tp>
        <v>0</v>
        <stp/>
        <stp>RENT3_B_0</stp>
        <stp>PRT</stp>
        <tr r="X23" s="1"/>
      </tp>
      <tp>
        <v>100</v>
        <stp/>
        <stp>ECOR3_B_0</stp>
        <stp>QUL</stp>
        <tr r="O19" s="1"/>
      </tp>
      <tp t="s">
        <v>-</v>
        <stp/>
        <stp>CSNA3_B_0</stp>
        <stp>DELTA</stp>
        <tr r="AO16" s="1"/>
      </tp>
      <tp>
        <v>9.9999079113370399</v>
        <stp/>
        <stp>BBAS3_B_0</stp>
        <stp>SEMES</stp>
        <tr r="AH25" s="1"/>
      </tp>
      <tp>
        <v>0</v>
        <stp/>
        <stp>CSNA3_B_0</stp>
        <stp>PEX</stp>
        <tr r="I16" s="1"/>
      </tp>
      <tp>
        <v>-7.3645206113941777</v>
        <stp/>
        <stp>ITSA4_B_0</stp>
        <stp>MES</stp>
        <tr r="AB14" s="1"/>
      </tp>
      <tp>
        <v>-5.0837988826815845</v>
        <stp/>
        <stp>B3SA3_B_0</stp>
        <stp>MES</stp>
        <tr r="AB40" s="1"/>
      </tp>
      <tp>
        <v>-16.877637130801691</v>
        <stp/>
        <stp>GFSA3_B_0</stp>
        <stp>MES</stp>
        <tr r="AB20" s="1"/>
      </tp>
      <tp>
        <v>13.29112173240223</v>
        <stp/>
        <stp>ITSA4_B_0</stp>
        <stp>MED</stp>
        <tr r="L14" s="1"/>
      </tp>
      <tp>
        <v>1.9663931297709925</v>
        <stp/>
        <stp>GFSA3_B_0</stp>
        <stp>MED</stp>
        <tr r="L20" s="1"/>
      </tp>
      <tp>
        <v>17.244809544397398</v>
        <stp/>
        <stp>B3SA3_B_0</stp>
        <stp>MED</stp>
        <tr r="L40" s="1"/>
      </tp>
      <tp t="s">
        <v>0,00 0,00</v>
        <stp/>
        <stp>ITSA4_B_0</stp>
        <stp>101_psicotrade</stp>
        <tr r="AZ14" s="1"/>
      </tp>
      <tp t="s">
        <v>-</v>
        <stp/>
        <stp>BBDC4_B_0</stp>
        <stp>GAMA</stp>
        <tr r="AP22" s="1"/>
      </tp>
      <tp t="s">
        <v>0,00 0,00</v>
        <stp/>
        <stp>ITUB4_B_0</stp>
        <stp>101_psicotrade</stp>
        <tr r="AZ28" s="1"/>
      </tp>
      <tp t="s">
        <v>13/03/2026</v>
        <stp/>
        <stp>SUZB3_B_0</stp>
        <stp>DAT</stp>
        <tr r="B29" s="1"/>
      </tp>
      <tp>
        <v>17.600000000000001</v>
        <stp/>
        <stp>B3SA3_B_0</stp>
        <stp>MAX</stp>
        <tr r="F40" s="1"/>
      </tp>
      <tp>
        <v>2.0099999999999998</v>
        <stp/>
        <stp>GFSA3_B_0</stp>
        <stp>MAX</stp>
        <tr r="F20" s="1"/>
      </tp>
      <tp>
        <v>13.54</v>
        <stp/>
        <stp>ITSA4_B_0</stp>
        <stp>MAX</stp>
        <tr r="F14" s="1"/>
      </tp>
      <tp>
        <v>11.407035175879393</v>
        <stp/>
        <stp>BRAP4_B_0</stp>
        <stp>TRIM</stp>
        <tr r="AG24" s="1"/>
      </tp>
      <tp t="s">
        <v>-</v>
        <stp/>
        <stp>CMIG4_B_0</stp>
        <stp>VEGA</stp>
        <tr r="AS30" s="1"/>
      </tp>
      <tp t="s">
        <v>-</v>
        <stp/>
        <stp>VALE3_B_0</stp>
        <stp>RHO</stp>
        <tr r="AR26" s="1"/>
      </tp>
      <tp t="s">
        <v>-</v>
        <stp/>
        <stp>CYRE3_B_0</stp>
        <stp>DELTA</stp>
        <tr r="AO15" s="1"/>
      </tp>
      <tp t="s">
        <v>15:11:39</v>
        <stp/>
        <stp>MRVE3_B_0</stp>
        <stp>HOR</stp>
        <tr r="C21" s="1"/>
      </tp>
      <tp>
        <v>1.92</v>
        <stp/>
        <stp>GFSA3_B_0</stp>
        <stp>MIN</stp>
        <tr r="G20" s="1"/>
      </tp>
      <tp>
        <v>16.86</v>
        <stp/>
        <stp>B3SA3_B_0</stp>
        <stp>MIN</stp>
        <tr r="G40" s="1"/>
      </tp>
      <tp>
        <v>13.13</v>
        <stp/>
        <stp>ITSA4_B_0</stp>
        <stp>MIN</stp>
        <tr r="G14" s="1"/>
      </tp>
      <tp>
        <v>25.234030634057149</v>
        <stp/>
        <stp>B3SA3_B_0</stp>
        <stp>SEMES</stp>
        <tr r="AH40" s="1"/>
      </tp>
      <tp>
        <v>-4.5130684503253402</v>
        <stp/>
        <stp>DOLPT_E_0</stp>
        <stp>TRIM</stp>
        <tr r="AG13" s="1"/>
      </tp>
      <tp t="s">
        <v>-</v>
        <stp/>
        <stp>CSNA3_B_0</stp>
        <stp>DOBRAR</stp>
        <tr r="AV16" s="1"/>
      </tp>
      <tp t="s">
        <v>-</v>
        <stp/>
        <stp>USIM5_B_0</stp>
        <stp>DOBRAR</stp>
        <tr r="AV35" s="1"/>
      </tp>
      <tp t="s">
        <v>-</v>
        <stp/>
        <stp>BITFUT_F_0</stp>
        <stp>VEGA</stp>
        <tr r="AS43" s="1"/>
      </tp>
      <tp t="s">
        <v>-</v>
        <stp/>
        <stp>BITFUT_F_0</stp>
        <stp>VEXT</stp>
        <tr r="AY43" s="1"/>
      </tp>
      <tp>
        <v>-36.129753914988818</v>
        <stp/>
        <stp>CSNA3_B_0</stp>
        <stp>SEMES</stp>
        <tr r="AH16" s="1"/>
      </tp>
      <tp t="s">
        <v>-</v>
        <stp/>
        <stp>BBAS3_B_0</stp>
        <stp>DELTA</stp>
        <tr r="AO25" s="1"/>
      </tp>
      <tp>
        <v>0</v>
        <stp/>
        <stp>ECOR3_B_0</stp>
        <stp>PEX</stp>
        <tr r="I19" s="1"/>
      </tp>
      <tp>
        <v>92778772.959674835</v>
        <stp/>
        <stp>CMIG4_B_0</stp>
        <stp>VPJ</stp>
        <tr r="Z30" s="1"/>
      </tp>
      <tp>
        <v>200</v>
        <stp/>
        <stp>CSNA3_B_0</stp>
        <stp>QUL</stp>
        <tr r="O16" s="1"/>
      </tp>
      <tp>
        <v>22528100</v>
        <stp/>
        <stp>CSNA3_B_0</stp>
        <stp>QTT</stp>
        <tr r="P16" s="1"/>
      </tp>
      <tp>
        <v>0</v>
        <stp/>
        <stp>CSNA3_B_0</stp>
        <stp>QTE</stp>
        <tr r="Y16" s="1"/>
      </tp>
      <tp t="s">
        <v>-</v>
        <stp/>
        <stp>SUZB3_B_0</stp>
        <stp>GAMA</stp>
        <tr r="AP29" s="1"/>
      </tp>
      <tp>
        <v>-0.75026795284030312</v>
        <stp/>
        <stp>MGLU3_B_0</stp>
        <stp>SEM</stp>
        <tr r="AA27" s="1"/>
      </tp>
      <tp t="s">
        <v>Aberto</v>
        <stp/>
        <stp>SUZB3_B_0</stp>
        <stp>EST</stp>
        <tr r="AL29" s="1"/>
      </tp>
      <tp>
        <v>7.2310688969658008</v>
        <stp/>
        <stp>CYRE3_B_0</stp>
        <stp>SEMES</stp>
        <tr r="AH15" s="1"/>
      </tp>
      <tp>
        <v>46065238.440558322</v>
        <stp/>
        <stp>USIM5_B_0</stp>
        <stp>VPJ</stp>
        <tr r="Z35" s="1"/>
      </tp>
      <tp>
        <v>1.1130136986301438</v>
        <stp/>
        <stp>CMIG4_B_0</stp>
        <stp>VAR</stp>
        <tr r="J30" s="1"/>
      </tp>
      <tp t="s">
        <v>31/12/9999</v>
        <stp/>
        <stp>CMIG4_B_0</stp>
        <stp>VAL</stp>
        <tr r="AJ30" s="1"/>
      </tp>
      <tp t="s">
        <v>-</v>
        <stp/>
        <stp>BRFS3_B_0</stp>
        <stp>DELTA</stp>
        <tr r="AO31" s="1"/>
      </tp>
      <tp>
        <v>27.92</v>
        <stp/>
        <stp>CYRE3_B_0</stp>
        <stp>MAX</stp>
        <tr r="F15" s="1"/>
      </tp>
      <tp t="s">
        <v>-</v>
        <stp/>
        <stp>USIM5_B_0</stp>
        <stp>VIA</stp>
        <tr r="AT35" s="1"/>
      </tp>
      <tp t="s">
        <v>-</v>
        <stp/>
        <stp>USIM5_B_0</stp>
        <stp>VIB</stp>
        <tr r="AU35" s="1"/>
      </tp>
      <tp>
        <v>39878421</v>
        <stp/>
        <stp>USIM5_B_0</stp>
        <stp>VOL</stp>
        <tr r="Q35" s="1"/>
      </tp>
      <tp>
        <v>29600</v>
        <stp/>
        <stp>USIM5_B_0</stp>
        <stp>VOC</stp>
        <tr r="T35" s="1"/>
      </tp>
      <tp t="s">
        <v>-</v>
        <stp/>
        <stp>CMIG4_B_0</stp>
        <stp>VEN</stp>
        <tr r="AI30" s="1"/>
      </tp>
      <tp>
        <v>2600</v>
        <stp/>
        <stp>USIM5_B_0</stp>
        <stp>VOV</stp>
        <tr r="U35" s="1"/>
      </tp>
      <tp>
        <v>-0.19021049961958622</v>
        <stp/>
        <stp>VALE3_B_0</stp>
        <stp>SEM</stp>
        <tr r="AA26" s="1"/>
      </tp>
      <tp>
        <v>0</v>
        <stp/>
        <stp>ECOR3_B_0</stp>
        <stp>PRT</stp>
        <tr r="X19" s="1"/>
      </tp>
      <tp>
        <v>-13.05763594920222</v>
        <stp/>
        <stp>CYRE3_B_0</stp>
        <stp>MES</stp>
        <tr r="AB15" s="1"/>
      </tp>
      <tp>
        <v>0</v>
        <stp/>
        <stp>RENT3_B_0</stp>
        <stp>QTE</stp>
        <tr r="Y23" s="1"/>
      </tp>
      <tp>
        <v>27.167574004942427</v>
        <stp/>
        <stp>CYRE3_B_0</stp>
        <stp>MED</stp>
        <tr r="L15" s="1"/>
      </tp>
      <tp>
        <v>6168900</v>
        <stp/>
        <stp>RENT3_B_0</stp>
        <stp>QTT</stp>
        <tr r="P23" s="1"/>
      </tp>
      <tp>
        <v>200</v>
        <stp/>
        <stp>RENT3_B_0</stp>
        <stp>QUL</stp>
        <tr r="O23" s="1"/>
      </tp>
      <tp t="s">
        <v>-</v>
        <stp/>
        <stp>ITUB4_B_0</stp>
        <stp>GAMA</stp>
        <tr r="AP28" s="1"/>
      </tp>
      <tp t="s">
        <v>-</v>
        <stp/>
        <stp>CMIG4_B_0</stp>
        <stp>VIB</stp>
        <tr r="AU30" s="1"/>
      </tp>
      <tp t="s">
        <v>-</v>
        <stp/>
        <stp>CMIG4_B_0</stp>
        <stp>VIA</stp>
        <tr r="AT30" s="1"/>
      </tp>
      <tp t="s">
        <v>31/12/9999</v>
        <stp/>
        <stp>USIM5_B_0</stp>
        <stp>VAL</stp>
        <tr r="AJ35" s="1"/>
      </tp>
      <tp t="s">
        <v>0,00 0,00</v>
        <stp/>
        <stp>SUZB3_B_0</stp>
        <stp>101_psicotrade</stp>
        <tr r="AZ29" s="1"/>
      </tp>
      <tp>
        <v>26.56</v>
        <stp/>
        <stp>CYRE3_B_0</stp>
        <stp>MIN</stp>
        <tr r="G15" s="1"/>
      </tp>
      <tp>
        <v>-0.77639751552796132</v>
        <stp/>
        <stp>USIM5_B_0</stp>
        <stp>VAR</stp>
        <tr r="J35" s="1"/>
      </tp>
      <tp>
        <v>0</v>
        <stp/>
        <stp>CIEL3_B_0</stp>
        <stp>SEMES</stp>
        <tr r="AH18" s="1"/>
      </tp>
      <tp t="s">
        <v>-</v>
        <stp/>
        <stp>USIM5_B_0</stp>
        <stp>VEN</stp>
        <tr r="AI35" s="1"/>
      </tp>
      <tp>
        <v>4600</v>
        <stp/>
        <stp>CMIG4_B_0</stp>
        <stp>VOV</stp>
        <tr r="U30" s="1"/>
      </tp>
      <tp>
        <v>80313773</v>
        <stp/>
        <stp>CMIG4_B_0</stp>
        <stp>VOL</stp>
        <tr r="Q30" s="1"/>
      </tp>
      <tp>
        <v>42200</v>
        <stp/>
        <stp>CMIG4_B_0</stp>
        <stp>VOC</stp>
        <tr r="T30" s="1"/>
      </tp>
      <tp t="s">
        <v>-</v>
        <stp/>
        <stp>B3SA3_B_0</stp>
        <stp>DELTA</stp>
        <tr r="AO40" s="1"/>
      </tp>
      <tp>
        <v>6620</v>
        <stp/>
        <stp>BITFUT_F_0</stp>
        <stp>VARPTS</stp>
        <tr r="K43" s="1"/>
      </tp>
      <tp t="s">
        <v>-</v>
        <stp/>
        <stp>BRFS3_B_0</stp>
        <stp>DOBRAR</stp>
        <tr r="AV31" s="1"/>
      </tp>
      <tp t="s">
        <v>-</v>
        <stp/>
        <stp>LREN3_B_0</stp>
        <stp>DOBRAR</stp>
        <tr r="AV17" s="1"/>
      </tp>
      <tp t="s">
        <v>-</v>
        <stp/>
        <stp>BRAP4_B_0</stp>
        <stp>DOBRAR</stp>
        <tr r="AV24" s="1"/>
      </tp>
      <tp t="s">
        <v>-</v>
        <stp/>
        <stp>MRVE3_B_0</stp>
        <stp>DOBRAR</stp>
        <tr r="AV21" s="1"/>
      </tp>
      <tp t="s">
        <v>-</v>
        <stp/>
        <stp>CYRE3_B_0</stp>
        <stp>VEXT</stp>
        <tr r="AY15" s="1"/>
      </tp>
      <tp t="s">
        <v>-</v>
        <stp/>
        <stp>ABEV3_B_0</stp>
        <stp>DELTA</stp>
        <tr r="AO38" s="1"/>
      </tp>
      <tp>
        <v>13.200000000000001</v>
        <stp/>
        <stp>ITSA4_B_0</stp>
        <stp>OVD</stp>
        <tr r="S14" s="1"/>
      </tp>
      <tp>
        <v>-5.7531380753138146</v>
        <stp/>
        <stp>ECOR3_B_0</stp>
        <stp>SEM</stp>
        <tr r="AA19" s="1"/>
      </tp>
      <tp>
        <v>1.98</v>
        <stp/>
        <stp>GFSA3_B_0</stp>
        <stp>OVD</stp>
        <tr r="S20" s="1"/>
      </tp>
      <tp>
        <v>0</v>
        <stp/>
        <stp>VALE3_B_0</stp>
        <stp>PRT</stp>
        <tr r="X26" s="1"/>
      </tp>
      <tp>
        <v>17.010000000000002</v>
        <stp/>
        <stp>B3SA3_B_0</stp>
        <stp>OVD</stp>
        <tr r="S40" s="1"/>
      </tp>
      <tp>
        <v>44.970798182998053</v>
        <stp/>
        <stp>PETR4_B_0</stp>
        <stp>TRIM</stp>
        <tr r="AG32" s="1"/>
      </tp>
      <tp>
        <v>0</v>
        <stp/>
        <stp>MGLU3_B_0</stp>
        <stp>PEX</stp>
        <tr r="I27" s="1"/>
      </tp>
      <tp t="s">
        <v>-</v>
        <stp/>
        <stp>LREN3_B_0</stp>
        <stp>BLACK</stp>
        <tr r="AM17" s="1"/>
      </tp>
      <tp t="s">
        <v>-</v>
        <stp/>
        <stp>RENT3_B_0</stp>
        <stp>RHO</stp>
        <tr r="AR23" s="1"/>
      </tp>
      <tp t="s">
        <v>-</v>
        <stp/>
        <stp>VALE3_B_0</stp>
        <stp>VEGA</stp>
        <tr r="AS26" s="1"/>
      </tp>
      <tp t="s">
        <v>15:11:38</v>
        <stp/>
        <stp>PETR4_B_0</stp>
        <stp>HOR</stp>
        <tr r="C32" s="1"/>
      </tp>
      <tp t="s">
        <v>-</v>
        <stp/>
        <stp>MRVE3_B_0</stp>
        <stp>VEXT</stp>
        <tr r="AY21" s="1"/>
      </tp>
      <tp>
        <v>0</v>
        <stp/>
        <stp>MGLU3_B_0</stp>
        <stp>PRT</stp>
        <tr r="X27" s="1"/>
      </tp>
      <tp t="s">
        <v>-</v>
        <stp/>
        <stp>MRVE3_B_0</stp>
        <stp>VEGA</stp>
        <tr r="AS21" s="1"/>
      </tp>
      <tp>
        <v>53.470000000000006</v>
        <stp/>
        <stp>SUZB3_B_0</stp>
        <stp>FEC</stp>
        <tr r="H29" s="1"/>
      </tp>
      <tp t="s">
        <v>-</v>
        <stp/>
        <stp>GFSA3_B_0</stp>
        <stp>GAMA</stp>
        <tr r="AP20" s="1"/>
      </tp>
      <tp>
        <v>-12.088670630811871</v>
        <stp/>
        <stp>GGBR4_B_0</stp>
        <stp>TRIM</stp>
        <tr r="AG37" s="1"/>
      </tp>
      <tp>
        <v>13.19</v>
        <stp/>
        <stp>ITSA4_B_0</stp>
        <stp>OCP</stp>
        <tr r="R14" s="1"/>
      </tp>
      <tp>
        <v>16.990000000000002</v>
        <stp/>
        <stp>B3SA3_B_0</stp>
        <stp>OCP</stp>
        <tr r="R40" s="1"/>
      </tp>
      <tp>
        <v>1.97</v>
        <stp/>
        <stp>GFSA3_B_0</stp>
        <stp>OCP</stp>
        <tr r="R20" s="1"/>
      </tp>
      <tp t="s">
        <v>-</v>
        <stp/>
        <stp>B3SA3_B_0</stp>
        <stp>GAMA</stp>
        <tr r="AP40" s="1"/>
      </tp>
      <tp>
        <v>-12.088670630811871</v>
        <stp/>
        <stp>GGBR4_B_0</stp>
        <stp>SEMES</stp>
        <tr r="AH37" s="1"/>
      </tp>
      <tp t="s">
        <v>-</v>
        <stp/>
        <stp>VALE3_B_0</stp>
        <stp>VEXT</stp>
        <tr r="AY26" s="1"/>
      </tp>
      <tp t="s">
        <v>-</v>
        <stp/>
        <stp>CSNA3_B_0</stp>
        <stp>GAMA</stp>
        <tr r="AP16" s="1"/>
      </tp>
      <tp>
        <v>0</v>
        <stp/>
        <stp>VALE3_B_0</stp>
        <stp>PEX</stp>
        <tr r="I26" s="1"/>
      </tp>
      <tp>
        <v>9413</v>
        <stp/>
        <stp>CYRE3_B_0</stp>
        <stp>NEG</stp>
        <tr r="N15" s="1"/>
      </tp>
      <tp>
        <v>0</v>
        <stp/>
        <stp>EMBR3_B_0</stp>
        <stp>TRIM</stp>
        <tr r="AG11" s="1"/>
      </tp>
      <tp>
        <v>-15</v>
        <stp/>
        <stp>ECOR3_B_0</stp>
        <stp>TRIM</stp>
        <tr r="AG19" s="1"/>
      </tp>
      <tp>
        <v>6.39</v>
        <stp/>
        <stp>USIM5_B_0</stp>
        <stp>ULT</stp>
        <tr r="D35" s="1"/>
      </tp>
      <tp t="s">
        <v>-</v>
        <stp/>
        <stp>ITSA4_B_0</stp>
        <stp>GAMA</stp>
        <tr r="AP14" s="1"/>
      </tp>
      <tp>
        <v>-9.9189717798267605</v>
        <stp/>
        <stp>GOAU4_B_0</stp>
        <stp>SEMES</stp>
        <tr r="AH39" s="1"/>
      </tp>
      <tp>
        <v>11.81</v>
        <stp/>
        <stp>CMIG4_B_0</stp>
        <stp>ULT</stp>
        <tr r="D30" s="1"/>
      </tp>
      <tp t="s">
        <v>-</v>
        <stp/>
        <stp>CYRE3_B_0</stp>
        <stp>VEGA</stp>
        <tr r="AS15" s="1"/>
      </tp>
      <tp t="s">
        <v>-</v>
        <stp/>
        <stp>CSNA3_B_0</stp>
        <stp>RHO</stp>
        <tr r="AR16" s="1"/>
      </tp>
      <tp>
        <v>-5.0000000000000711E-2</v>
        <stp/>
        <stp>USIM5_B_0</stp>
        <stp>VARPTS</stp>
        <tr r="K35" s="1"/>
      </tp>
      <tp>
        <v>-0.39000000000000057</v>
        <stp/>
        <stp>CSNA3_B_0</stp>
        <stp>VARPTS</stp>
        <tr r="K16" s="1"/>
      </tp>
      <tp>
        <v>-4.9546819762137009</v>
        <stp/>
        <stp>WDOFUT_F_0</stp>
        <stp>TRIM</stp>
        <tr r="AG41" s="1"/>
      </tp>
      <tp>
        <v>7.9128249238037105</v>
        <stp/>
        <stp>WINFUT_F_0</stp>
        <stp>TRIM</stp>
        <tr r="AG42" s="1"/>
      </tp>
      <tp t="s">
        <v>-</v>
        <stp/>
        <stp>DOLFUT_F_0</stp>
        <stp>GAMA</stp>
        <tr r="AP33" s="1"/>
      </tp>
      <tp t="s">
        <v>-</v>
        <stp/>
        <stp>DOLPT_E_0</stp>
        <stp>VEN</stp>
        <tr r="AI13" s="1"/>
      </tp>
      <tp>
        <v>26.72</v>
        <stp/>
        <stp>CYRE3_B_0</stp>
        <stp>OVD</stp>
        <tr r="S15" s="1"/>
      </tp>
      <tp t="s">
        <v>-</v>
        <stp/>
        <stp>GGBR4_B_0</stp>
        <stp>DELTA</stp>
        <tr r="AO37" s="1"/>
      </tp>
      <tp>
        <v>100</v>
        <stp/>
        <stp>VALE3_B_0</stp>
        <stp>QUL</stp>
        <tr r="O26" s="1"/>
      </tp>
      <tp>
        <v>-4.6476107353262099</v>
        <stp/>
        <stp>RENT3_B_0</stp>
        <stp>SEM</stp>
        <tr r="AA23" s="1"/>
      </tp>
      <tp>
        <v>0</v>
        <stp/>
        <stp>VALE3_B_0</stp>
        <stp>QTE</stp>
        <tr r="Y26" s="1"/>
      </tp>
      <tp>
        <v>9463100</v>
        <stp/>
        <stp>VALE3_B_0</stp>
        <stp>QTT</stp>
        <tr r="P26" s="1"/>
      </tp>
      <tp>
        <v>0.94149293880296625</v>
        <stp/>
        <stp>DOLPT_E_0</stp>
        <stp>VAR</stp>
        <tr r="J13" s="1"/>
      </tp>
      <tp t="s">
        <v>30/12/1899</v>
        <stp/>
        <stp>DOLPT_E_0</stp>
        <stp>VAL</stp>
        <tr r="AJ13" s="1"/>
      </tp>
      <tp t="s">
        <v>-</v>
        <stp/>
        <stp>MRVE3_B_0</stp>
        <stp>BLACK</stp>
        <tr r="AM21" s="1"/>
      </tp>
      <tp>
        <v>0</v>
        <stp/>
        <stp>DOLPT_E_0</stp>
        <stp>VOV</stp>
        <tr r="U13" s="1"/>
      </tp>
      <tp>
        <v>0</v>
        <stp/>
        <stp>DOLPT_E_0</stp>
        <stp>VOL</stp>
        <tr r="Q13" s="1"/>
      </tp>
      <tp>
        <v>0</v>
        <stp/>
        <stp>DOLPT_E_0</stp>
        <stp>VOC</stp>
        <tr r="T13" s="1"/>
      </tp>
      <tp t="s">
        <v>-</v>
        <stp/>
        <stp>ECOR3_B_0</stp>
        <stp>RHO</stp>
        <tr r="AR19" s="1"/>
      </tp>
      <tp t="s">
        <v>-</v>
        <stp/>
        <stp>GOAU4_B_0</stp>
        <stp>DELTA</stp>
        <tr r="AO39" s="1"/>
      </tp>
      <tp t="s">
        <v>-</v>
        <stp/>
        <stp>DOLPT_E_0</stp>
        <stp>VIA</stp>
        <tr r="AT13" s="1"/>
      </tp>
      <tp t="s">
        <v>-</v>
        <stp/>
        <stp>DOLPT_E_0</stp>
        <stp>VIB</stp>
        <tr r="AU13" s="1"/>
      </tp>
      <tp>
        <v>0</v>
        <stp/>
        <stp>BRFS3_B_0</stp>
        <stp>TRIM</stp>
        <tr r="AG31" s="1"/>
      </tp>
      <tp>
        <v>26.7</v>
        <stp/>
        <stp>CYRE3_B_0</stp>
        <stp>OCP</stp>
        <tr r="R15" s="1"/>
      </tp>
      <tp>
        <v>9.9999079113370399</v>
        <stp/>
        <stp>BBAS3_B_0</stp>
        <stp>TRIM</stp>
        <tr r="AG25" s="1"/>
      </tp>
      <tp>
        <v>9.0187590187590061</v>
        <stp/>
        <stp>ABEV3_B_0</stp>
        <stp>SEMES</stp>
        <tr r="AH38" s="1"/>
      </tp>
      <tp>
        <v>14199</v>
        <stp/>
        <stp>ITSA4_B_0</stp>
        <stp>NEG</stp>
        <tr r="N14" s="1"/>
      </tp>
      <tp>
        <v>-20.584144645340753</v>
        <stp/>
        <stp>CSNA3_B_0</stp>
        <stp>SEM</stp>
        <tr r="AA16" s="1"/>
      </tp>
      <tp>
        <v>584</v>
        <stp/>
        <stp>GFSA3_B_0</stp>
        <stp>NEG</stp>
        <tr r="N20" s="1"/>
      </tp>
      <tp>
        <v>25800</v>
        <stp/>
        <stp>B3SA3_B_0</stp>
        <stp>NEG</stp>
        <tr r="N40" s="1"/>
      </tp>
      <tp t="s">
        <v>-</v>
        <stp/>
        <stp>MGLU3_B_0</stp>
        <stp>BLACK</stp>
        <tr r="AM27" s="1"/>
      </tp>
      <tp>
        <v>100</v>
        <stp/>
        <stp>MGLU3_B_0</stp>
        <stp>QUL</stp>
        <tr r="O27" s="1"/>
      </tp>
      <tp>
        <v>0</v>
        <stp/>
        <stp>DOLPT_E_0</stp>
        <stp>VPJ</stp>
        <tr r="Z13" s="1"/>
      </tp>
      <tp>
        <v>31312500</v>
        <stp/>
        <stp>MGLU3_B_0</stp>
        <stp>QTT</stp>
        <tr r="P27" s="1"/>
      </tp>
      <tp>
        <v>0</v>
        <stp/>
        <stp>MGLU3_B_0</stp>
        <stp>QTE</stp>
        <tr r="Y27" s="1"/>
      </tp>
      <tp t="s">
        <v>15:11:37</v>
        <stp/>
        <stp>ITUB4_B_0</stp>
        <stp>HOR</stp>
        <tr r="C28" s="1"/>
      </tp>
      <tp>
        <v>-0.37999999999999901</v>
        <stp/>
        <stp>BRAP4_B_0</stp>
        <stp>VARPTS</stp>
        <tr r="K24" s="1"/>
      </tp>
      <tp>
        <v>8.9999999999998082E-2</v>
        <stp/>
        <stp>LREN3_B_0</stp>
        <stp>VARPTS</stp>
        <tr r="K17" s="1"/>
      </tp>
      <tp>
        <v>0</v>
        <stp/>
        <stp>BRFS3_B_0</stp>
        <stp>VARPTS</stp>
        <tr r="K31" s="1"/>
      </tp>
      <tp t="s">
        <v>-</v>
        <stp/>
        <stp>BITFUT_F_0</stp>
        <stp>DOBRAR</stp>
        <tr r="AV43" s="1"/>
      </tp>
      <tp>
        <v>-0.42000000000000082</v>
        <stp/>
        <stp>MRVE3_B_0</stp>
        <stp>VARPTS</stp>
        <tr r="K21" s="1"/>
      </tp>
      <tp>
        <v>-3.4747474747474723</v>
        <stp/>
        <stp>BBAS3_B_0</stp>
        <stp>SEM</stp>
        <tr r="AA25" s="1"/>
      </tp>
      <tp>
        <v>0</v>
        <stp/>
        <stp>GGBR4_B_0</stp>
        <stp>PEX</stp>
        <tr r="I37" s="1"/>
      </tp>
      <tp>
        <v>0</v>
        <stp/>
        <stp>EMBR3_B_0</stp>
        <stp>PEX</stp>
        <tr r="I11" s="1"/>
      </tp>
      <tp>
        <v>45</v>
        <stp/>
        <stp>PETR4_B_0</stp>
        <stp>FEC</stp>
        <tr r="H32" s="1"/>
      </tp>
      <tp>
        <v>-1.1150758251561106</v>
        <stp/>
        <stp>BRAP4_B_0</stp>
        <stp>SEM</stp>
        <tr r="AA24" s="1"/>
      </tp>
      <tp t="s">
        <v>13/03/2026</v>
        <stp/>
        <stp>VIVT3_B_0</stp>
        <stp>DAT</stp>
        <tr r="B12" s="1"/>
      </tp>
      <tp>
        <v>534363886.66773623</v>
        <stp/>
        <stp>BBDC4_B_0</stp>
        <stp>VPJ</stp>
        <tr r="Z22" s="1"/>
      </tp>
      <tp>
        <v>-5.0670184447951669</v>
        <stp/>
        <stp>GOAU4_B_0</stp>
        <stp>SEM</stp>
        <tr r="AA39" s="1"/>
      </tp>
      <tp t="s">
        <v>-</v>
        <stp/>
        <stp>BRFS3_B_0</stp>
        <stp>BLACK</stp>
        <tr r="AM31" s="1"/>
      </tp>
      <tp>
        <v>13.177457108315965</v>
        <stp/>
        <stp>ITSA4_B_0</stp>
        <stp>SEMES</stp>
        <tr r="AH14" s="1"/>
      </tp>
      <tp>
        <v>8.4241120527090647</v>
        <stp/>
        <stp>ITUB4_B_0</stp>
        <stp>SEMES</stp>
        <tr r="AH28" s="1"/>
      </tp>
      <tp t="s">
        <v>-</v>
        <stp/>
        <stp>CMIG4_B_0</stp>
        <stp>VIVH</stp>
        <tr r="AW30" s="1"/>
      </tp>
      <tp t="s">
        <v>-</v>
        <stp/>
        <stp>WDOFUT_F_0</stp>
        <stp>RHO</stp>
        <tr r="AR41" s="1"/>
      </tp>
      <tp t="s">
        <v>-</v>
        <stp/>
        <stp>WINFUT_F_0</stp>
        <stp>RHO</stp>
        <tr r="AR42" s="1"/>
      </tp>
      <tp t="s">
        <v>-</v>
        <stp/>
        <stp>BBDC4_B_0</stp>
        <stp>VEN</stp>
        <tr r="AI22" s="1"/>
      </tp>
      <tp t="s">
        <v>-</v>
        <stp/>
        <stp>CMIG4_B_0</stp>
        <stp>VINT</stp>
        <tr r="AX30" s="1"/>
      </tp>
      <tp t="s">
        <v>13/03/2026</v>
        <stp/>
        <stp>MRVE3_B_0</stp>
        <stp>DAT</stp>
        <tr r="B21" s="1"/>
      </tp>
      <tp t="s">
        <v>-</v>
        <stp/>
        <stp>INDFUT_F_0</stp>
        <stp>RHO</stp>
        <tr r="AR36" s="1"/>
      </tp>
      <tp t="s">
        <v>-</v>
        <stp/>
        <stp>USIM5_B_0</stp>
        <stp>IMPVT</stp>
        <tr r="AN35" s="1"/>
      </tp>
      <tp>
        <v>-1.9597730789066476</v>
        <stp/>
        <stp>BBDC4_B_0</stp>
        <stp>VAR</stp>
        <tr r="J22" s="1"/>
      </tp>
      <tp t="s">
        <v>31/12/9999</v>
        <stp/>
        <stp>BBDC4_B_0</stp>
        <stp>VAL</stp>
        <tr r="AJ22" s="1"/>
      </tp>
      <tp>
        <v>13.33</v>
        <stp/>
        <stp>ITSA4_B_0</stp>
        <stp>ABE</stp>
        <tr r="E14" s="1"/>
      </tp>
      <tp>
        <v>1.99</v>
        <stp/>
        <stp>GFSA3_B_0</stp>
        <stp>ABE</stp>
        <tr r="E20" s="1"/>
      </tp>
      <tp>
        <v>17.34</v>
        <stp/>
        <stp>B3SA3_B_0</stp>
        <stp>ABE</stp>
        <tr r="E40" s="1"/>
      </tp>
      <tp t="s">
        <v>-</v>
        <stp/>
        <stp>SUZB3_B_0</stp>
        <stp>IMPVT</stp>
        <tr r="AN29" s="1"/>
      </tp>
      <tp>
        <v>0</v>
        <stp/>
        <stp>EMBR3_B_0</stp>
        <stp>PRT</stp>
        <tr r="X11" s="1"/>
      </tp>
      <tp>
        <v>0</v>
        <stp/>
        <stp>GGBR4_B_0</stp>
        <stp>PRT</stp>
        <tr r="X37" s="1"/>
      </tp>
      <tp t="s">
        <v>-</v>
        <stp/>
        <stp>BBAS3_B_0</stp>
        <stp>BLACK</stp>
        <tr r="AM25" s="1"/>
      </tp>
      <tp t="s">
        <v>-</v>
        <stp/>
        <stp>BITFUT_F_0</stp>
        <stp>RHO</stp>
        <tr r="AR43" s="1"/>
      </tp>
      <tp>
        <v>-63.177570093457959</v>
        <stp/>
        <stp>GFSA3_B_0</stp>
        <stp>ANO</stp>
        <tr r="AF20" s="1"/>
      </tp>
      <tp>
        <v>25.234030634057149</v>
        <stp/>
        <stp>B3SA3_B_0</stp>
        <stp>ANO</stp>
        <tr r="AF40" s="1"/>
      </tp>
      <tp>
        <v>13.177457108315965</v>
        <stp/>
        <stp>ITSA4_B_0</stp>
        <stp>ANO</stp>
        <tr r="AF14" s="1"/>
      </tp>
      <tp>
        <v>17800</v>
        <stp/>
        <stp>BBDC4_B_0</stp>
        <stp>VOV</stp>
        <tr r="U22" s="1"/>
      </tp>
      <tp>
        <v>462595848</v>
        <stp/>
        <stp>BBDC4_B_0</stp>
        <stp>VOL</stp>
        <tr r="Q22" s="1"/>
      </tp>
      <tp>
        <v>5000</v>
        <stp/>
        <stp>BBDC4_B_0</stp>
        <stp>VOC</stp>
        <tr r="T22" s="1"/>
      </tp>
      <tp t="s">
        <v>15:11:37</v>
        <stp/>
        <stp>SUZB3_B_0</stp>
        <stp>HOR</stp>
        <tr r="C29" s="1"/>
      </tp>
      <tp t="s">
        <v>-</v>
        <stp/>
        <stp>BBDC4_B_0</stp>
        <stp>VIB</stp>
        <tr r="AU22" s="1"/>
      </tp>
      <tp t="s">
        <v>-</v>
        <stp/>
        <stp>BBDC4_B_0</stp>
        <stp>VIA</stp>
        <tr r="AT22" s="1"/>
      </tp>
      <tp>
        <v>0</v>
        <stp/>
        <stp>ITSA4_B_0</stp>
        <stp>AJU</stp>
        <tr r="V14" s="1"/>
      </tp>
      <tp>
        <v>0</v>
        <stp/>
        <stp>GFSA3_B_0</stp>
        <stp>AJU</stp>
        <tr r="V20" s="1"/>
      </tp>
      <tp>
        <v>0</v>
        <stp/>
        <stp>B3SA3_B_0</stp>
        <stp>AJU</stp>
        <tr r="V40" s="1"/>
      </tp>
      <tp>
        <v>0</v>
        <stp/>
        <stp>ITSA4_B_0</stp>
        <stp>AJA</stp>
        <tr r="W14" s="1"/>
      </tp>
      <tp>
        <v>0</v>
        <stp/>
        <stp>B3SA3_B_0</stp>
        <stp>AJA</stp>
        <tr r="W40" s="1"/>
      </tp>
      <tp>
        <v>0</v>
        <stp/>
        <stp>GFSA3_B_0</stp>
        <stp>AJA</stp>
        <tr r="W20" s="1"/>
      </tp>
      <tp t="s">
        <v>-</v>
        <stp/>
        <stp>DOLFUT_F_0</stp>
        <stp>RHO</stp>
        <tr r="AR33" s="1"/>
      </tp>
      <tp t="s">
        <v>-</v>
        <stp/>
        <stp>B3SA3_B_0</stp>
        <stp>BLACK</stp>
        <tr r="AM40" s="1"/>
      </tp>
      <tp t="s">
        <v>-</v>
        <stp/>
        <stp>BITFUT_F_0</stp>
        <stp>VINT</stp>
        <tr r="AX43" s="1"/>
      </tp>
      <tp t="s">
        <v>-</v>
        <stp/>
        <stp>BITFUT_F_0</stp>
        <stp>VIVH</stp>
        <tr r="AW43" s="1"/>
      </tp>
      <tp>
        <v>0.61448288901493664</v>
        <stp/>
        <stp>WDOFUT_F_0</stp>
        <stp>SEM</stp>
        <tr r="AA41" s="1"/>
      </tp>
      <tp>
        <v>-0.98596577957210729</v>
        <stp/>
        <stp>WINFUT_F_0</stp>
        <stp>SEM</stp>
        <tr r="AA42" s="1"/>
      </tp>
      <tp t="s">
        <v>Aberto</v>
        <stp/>
        <stp>MRVE3_B_0</stp>
        <stp>EST</stp>
        <tr r="AL21" s="1"/>
      </tp>
      <tp>
        <v>1.0702341137123637</v>
        <stp/>
        <stp>ABEV3_B_0</stp>
        <stp>VAR</stp>
        <tr r="J38" s="1"/>
      </tp>
      <tp t="s">
        <v>31/12/9999</v>
        <stp/>
        <stp>ABEV3_B_0</stp>
        <stp>VAL</stp>
        <tr r="AJ38" s="1"/>
      </tp>
      <tp t="s">
        <v>-</v>
        <stp/>
        <stp>GFSA3_B_0</stp>
        <stp>THETA</stp>
        <tr r="AQ20" s="1"/>
      </tp>
      <tp t="s">
        <v>-</v>
        <stp/>
        <stp>ABEV3_B_0</stp>
        <stp>VEN</stp>
        <tr r="AI38" s="1"/>
      </tp>
      <tp t="s">
        <v>-</v>
        <stp/>
        <stp>RENT3_B_0</stp>
        <stp>IMPVT</stp>
        <tr r="AN23" s="1"/>
      </tp>
      <tp t="s">
        <v>-</v>
        <stp/>
        <stp>CSNA3_B_0</stp>
        <stp>BLACK</stp>
        <tr r="AM16" s="1"/>
      </tp>
      <tp>
        <v>158244256.82656828</v>
        <stp/>
        <stp>LREN3_B_0</stp>
        <stp>VPJ</stp>
        <tr r="Z17" s="1"/>
      </tp>
      <tp>
        <v>0</v>
        <stp/>
        <stp>BRFS3_B_0</stp>
        <stp>ULT</stp>
        <tr r="D31" s="1"/>
      </tp>
      <tp t="s">
        <v>-</v>
        <stp/>
        <stp>ABEV3_B_0</stp>
        <stp>VIB</stp>
        <tr r="AU38" s="1"/>
      </tp>
      <tp t="s">
        <v>-</v>
        <stp/>
        <stp>ABEV3_B_0</stp>
        <stp>VIA</stp>
        <tr r="AT38" s="1"/>
      </tp>
      <tp>
        <v>0</v>
        <stp/>
        <stp>CIEL3_B_0</stp>
        <stp>VPJ</stp>
        <tr r="Z18" s="1"/>
      </tp>
      <tp t="s">
        <v>-</v>
        <stp/>
        <stp>GOAU4_B_0</stp>
        <stp>RHO</stp>
        <tr r="AR39" s="1"/>
      </tp>
      <tp t="s">
        <v>-</v>
        <stp/>
        <stp>CYRE3_B_0</stp>
        <stp>BLACK</stp>
        <tr r="AM15" s="1"/>
      </tp>
      <tp t="s">
        <v>-</v>
        <stp/>
        <stp>BBAS3_B_0</stp>
        <stp>RHO</stp>
        <tr r="AR25" s="1"/>
      </tp>
      <tp t="s">
        <v>-</v>
        <stp/>
        <stp>BRAP4_B_0</stp>
        <stp>RHO</stp>
        <tr r="AR24" s="1"/>
      </tp>
      <tp>
        <v>44500</v>
        <stp/>
        <stp>ABEV3_B_0</stp>
        <stp>VOV</stp>
        <tr r="U38" s="1"/>
      </tp>
      <tp>
        <v>258263052</v>
        <stp/>
        <stp>ABEV3_B_0</stp>
        <stp>VOL</stp>
        <tr r="Q38" s="1"/>
      </tp>
      <tp>
        <v>43100</v>
        <stp/>
        <stp>ABEV3_B_0</stp>
        <stp>VOC</stp>
        <tr r="T38" s="1"/>
      </tp>
      <tp>
        <v>0</v>
        <stp/>
        <stp>EMBR3_B_0</stp>
        <stp>QTT</stp>
        <tr r="P11" s="1"/>
      </tp>
      <tp>
        <v>13107300</v>
        <stp/>
        <stp>GGBR4_B_0</stp>
        <stp>QTT</stp>
        <tr r="P37" s="1"/>
      </tp>
      <tp>
        <v>298362406.97438091</v>
        <stp/>
        <stp>ABEV3_B_0</stp>
        <stp>VPJ</stp>
        <tr r="Z38" s="1"/>
      </tp>
      <tp>
        <v>0</v>
        <stp/>
        <stp>EMBR3_B_0</stp>
        <stp>QTE</stp>
        <tr r="Y11" s="1"/>
      </tp>
      <tp>
        <v>0</v>
        <stp/>
        <stp>GGBR4_B_0</stp>
        <stp>QTE</stp>
        <tr r="Y37" s="1"/>
      </tp>
      <tp>
        <v>0</v>
        <stp/>
        <stp>EMBR3_B_0</stp>
        <stp>QUL</stp>
        <tr r="O11" s="1"/>
      </tp>
      <tp t="s">
        <v>-</v>
        <stp/>
        <stp>LREN3_B_0</stp>
        <stp>VIB</stp>
        <tr r="AU17" s="1"/>
      </tp>
      <tp t="s">
        <v>-</v>
        <stp/>
        <stp>LREN3_B_0</stp>
        <stp>VIA</stp>
        <tr r="AT17" s="1"/>
      </tp>
      <tp>
        <v>42.690000000000005</v>
        <stp/>
        <stp>ITUB4_B_0</stp>
        <stp>FEC</stp>
        <tr r="H28" s="1"/>
      </tp>
      <tp>
        <v>100</v>
        <stp/>
        <stp>GGBR4_B_0</stp>
        <stp>QUL</stp>
        <tr r="O37" s="1"/>
      </tp>
      <tp t="s">
        <v>Aberto</v>
        <stp/>
        <stp>VIVT3_B_0</stp>
        <stp>EST</stp>
        <tr r="AL12" s="1"/>
      </tp>
      <tp>
        <v>27.59</v>
        <stp/>
        <stp>CYRE3_B_0</stp>
        <stp>ABE</stp>
        <tr r="E15" s="1"/>
      </tp>
      <tp t="s">
        <v>0,00 0,00</v>
        <stp/>
        <stp>CYRE3_B_0</stp>
        <stp>101_psicotrade</stp>
        <tr r="AZ15" s="1"/>
      </tp>
      <tp>
        <v>0.60497211456659417</v>
        <stp/>
        <stp>DOLFUT_F_0</stp>
        <stp>SEM</stp>
        <tr r="AA33" s="1"/>
      </tp>
      <tp t="s">
        <v>-</v>
        <stp/>
        <stp>CIEL3_B_0</stp>
        <stp>VIA</stp>
        <tr r="AT18" s="1"/>
      </tp>
      <tp t="s">
        <v>-</v>
        <stp/>
        <stp>CIEL3_B_0</stp>
        <stp>VIB</stp>
        <tr r="AU18" s="1"/>
      </tp>
      <tp>
        <v>178222.5</v>
        <stp/>
        <stp>IBOV_B_0</stp>
        <stp>ULT</stp>
        <tr r="D34" s="1"/>
      </tp>
      <tp>
        <v>4.8587257617728525</v>
        <stp/>
        <stp>BITFUT_F_0</stp>
        <stp>SEM</stp>
        <tr r="AA43" s="1"/>
      </tp>
      <tp>
        <v>0</v>
        <stp/>
        <stp>CIEL3_B_0</stp>
        <stp>VOV</stp>
        <tr r="U18" s="1"/>
      </tp>
      <tp>
        <v>0</v>
        <stp/>
        <stp>CIEL3_B_0</stp>
        <stp>VOL</stp>
        <tr r="Q18" s="1"/>
      </tp>
      <tp>
        <v>0</v>
        <stp/>
        <stp>CIEL3_B_0</stp>
        <stp>VOC</stp>
        <tr r="T18" s="1"/>
      </tp>
      <tp t="s">
        <v>-</v>
        <stp/>
        <stp>ITUB4_B_0</stp>
        <stp>DELTA</stp>
        <tr r="AO28" s="1"/>
      </tp>
      <tp t="s">
        <v>-</v>
        <stp/>
        <stp>ITSA4_B_0</stp>
        <stp>DELTA</stp>
        <tr r="AO14" s="1"/>
      </tp>
      <tp>
        <v>6800</v>
        <stp/>
        <stp>LREN3_B_0</stp>
        <stp>VOV</stp>
        <tr r="U17" s="1"/>
      </tp>
      <tp>
        <v>8400</v>
        <stp/>
        <stp>LREN3_B_0</stp>
        <stp>VOC</stp>
        <tr r="T17" s="1"/>
      </tp>
      <tp>
        <v>136991174</v>
        <stp/>
        <stp>LREN3_B_0</stp>
        <stp>VOL</stp>
        <tr r="Q17" s="1"/>
      </tp>
      <tp>
        <v>0.59920106524632544</v>
        <stp/>
        <stp>LREN3_B_0</stp>
        <stp>VAR</stp>
        <tr r="J17" s="1"/>
      </tp>
      <tp>
        <v>0</v>
        <stp/>
        <stp>CYRE3_B_0</stp>
        <stp>AJU</stp>
        <tr r="V15" s="1"/>
      </tp>
      <tp>
        <v>0</v>
        <stp/>
        <stp>CYRE3_B_0</stp>
        <stp>AJA</stp>
        <tr r="W15" s="1"/>
      </tp>
      <tp t="s">
        <v>31/12/9999</v>
        <stp/>
        <stp>LREN3_B_0</stp>
        <stp>VAL</stp>
        <tr r="AJ17" s="1"/>
      </tp>
      <tp t="s">
        <v>-</v>
        <stp/>
        <stp>LREN3_B_0</stp>
        <stp>GAMA</stp>
        <tr r="AP17" s="1"/>
      </tp>
      <tp>
        <v>0</v>
        <stp/>
        <stp>CIEL3_B_0</stp>
        <stp>VAR</stp>
        <tr r="J18" s="1"/>
      </tp>
      <tp t="s">
        <v>31/12/9999</v>
        <stp/>
        <stp>CIEL3_B_0</stp>
        <stp>VAL</stp>
        <tr r="AJ18" s="1"/>
      </tp>
      <tp t="s">
        <v>-</v>
        <stp/>
        <stp>CIEL3_B_0</stp>
        <stp>BLACK</stp>
        <tr r="AM18" s="1"/>
      </tp>
      <tp>
        <v>7.2310688969658008</v>
        <stp/>
        <stp>CYRE3_B_0</stp>
        <stp>ANO</stp>
        <tr r="AF15" s="1"/>
      </tp>
      <tp t="s">
        <v>-</v>
        <stp/>
        <stp>LREN3_B_0</stp>
        <stp>VEN</stp>
        <tr r="AI17" s="1"/>
      </tp>
      <tp>
        <v>-1.0159253157605712</v>
        <stp/>
        <stp>INDFUT_F_0</stp>
        <stp>SEM</stp>
        <tr r="AA36" s="1"/>
      </tp>
      <tp t="s">
        <v>-</v>
        <stp/>
        <stp>CIEL3_B_0</stp>
        <stp>VEN</stp>
        <tr r="AI18" s="1"/>
      </tp>
      <tp t="s">
        <v>-</v>
        <stp/>
        <stp>IBOV_B_0</stp>
        <stp>GAMA</stp>
        <tr r="AP34" s="1"/>
      </tp>
      <tp t="s">
        <v>-</v>
        <stp/>
        <stp>INDFUT_F_0</stp>
        <stp>GAMA</stp>
        <tr r="AP36" s="1"/>
      </tp>
      <tp>
        <v>0</v>
        <stp/>
        <stp>WDOFUT_F_0</stp>
        <stp>PEX</stp>
        <tr r="I41" s="1"/>
      </tp>
      <tp>
        <v>0</v>
        <stp/>
        <stp>WINFUT_F_0</stp>
        <stp>PEX</stp>
        <tr r="I42" s="1"/>
      </tp>
      <tp t="s">
        <v>-</v>
        <stp/>
        <stp>MRVE3_B_0</stp>
        <stp>VIVH</stp>
        <tr r="AW21" s="1"/>
      </tp>
      <tp t="s">
        <v>-</v>
        <stp/>
        <stp>BRFS3_B_0</stp>
        <stp>VEN</stp>
        <tr r="AI31" s="1"/>
      </tp>
      <tp>
        <v>12.342007434944225</v>
        <stp/>
        <stp>LREN3_B_0</stp>
        <stp>SEMES</stp>
        <tr r="AH17" s="1"/>
      </tp>
      <tp>
        <v>0</v>
        <stp/>
        <stp>BITFUT_F_0</stp>
        <stp>PRT</stp>
        <tr r="X43" s="1"/>
      </tp>
      <tp t="s">
        <v>-</v>
        <stp/>
        <stp>VALE3_B_0</stp>
        <stp>VINT</stp>
        <tr r="AX26" s="1"/>
      </tp>
      <tp>
        <v>0</v>
        <stp/>
        <stp>DOLFUT_F_0</stp>
        <stp>PRT</stp>
        <tr r="X33" s="1"/>
      </tp>
      <tp>
        <v>0</v>
        <stp/>
        <stp>BRFS3_B_0</stp>
        <stp>VAR</stp>
        <tr r="J31" s="1"/>
      </tp>
      <tp t="s">
        <v>31/12/9999</v>
        <stp/>
        <stp>BRFS3_B_0</stp>
        <stp>VAL</stp>
        <tr r="AJ31" s="1"/>
      </tp>
      <tp t="s">
        <v>-</v>
        <stp/>
        <stp>USIM5_B_0</stp>
        <stp>GAMA</stp>
        <tr r="AP35" s="1"/>
      </tp>
      <tp t="s">
        <v>13/03/2026</v>
        <stp/>
        <stp>PETR4_B_0</stp>
        <stp>DAT</stp>
        <tr r="B32" s="1"/>
      </tp>
      <tp t="s">
        <v>-</v>
        <stp/>
        <stp>MGLU3_B_0</stp>
        <stp>DELTA</stp>
        <tr r="AO27" s="1"/>
      </tp>
      <tp t="s">
        <v>Aberto</v>
        <stp/>
        <stp>ITUB4_B_0</stp>
        <stp>EST</stp>
        <tr r="AL28" s="1"/>
      </tp>
      <tp>
        <v>40.480000000000004</v>
        <stp/>
        <stp>VIVT3_B_0</stp>
        <stp>FEC</stp>
        <tr r="H12" s="1"/>
      </tp>
      <tp>
        <v>16286742026.581059</v>
        <stp/>
        <stp>IBOV_B_0</stp>
        <stp>VPJ</stp>
        <tr r="Z34" s="1"/>
      </tp>
      <tp>
        <v>0</v>
        <stp/>
        <stp>INDFUT_F_0</stp>
        <stp>PRT</stp>
        <tr r="X36" s="1"/>
      </tp>
      <tp>
        <v>0</v>
        <stp/>
        <stp>BRFS3_B_0</stp>
        <stp>VOV</stp>
        <tr r="U31" s="1"/>
      </tp>
      <tp>
        <v>0</v>
        <stp/>
        <stp>BRFS3_B_0</stp>
        <stp>VOL</stp>
        <tr r="Q31" s="1"/>
      </tp>
      <tp>
        <v>0</v>
        <stp/>
        <stp>BRFS3_B_0</stp>
        <stp>VOC</stp>
        <tr r="T31" s="1"/>
      </tp>
      <tp>
        <v>15.11</v>
        <stp/>
        <stp>ABEV3_B_0</stp>
        <stp>ULT</stp>
        <tr r="D38" s="1"/>
      </tp>
      <tp t="s">
        <v>-</v>
        <stp/>
        <stp>EMBR3_B_0</stp>
        <stp>RHO</stp>
        <tr r="AR11" s="1"/>
      </tp>
      <tp t="s">
        <v>-</v>
        <stp/>
        <stp>GGBR4_B_0</stp>
        <stp>RHO</stp>
        <tr r="AR37" s="1"/>
      </tp>
      <tp t="s">
        <v>-</v>
        <stp/>
        <stp>BRFS3_B_0</stp>
        <stp>VIA</stp>
        <tr r="AT31" s="1"/>
      </tp>
      <tp t="s">
        <v>-</v>
        <stp/>
        <stp>BRFS3_B_0</stp>
        <stp>VIB</stp>
        <tr r="AU31" s="1"/>
      </tp>
      <tp t="s">
        <v>-</v>
        <stp/>
        <stp>CYRE3_B_0</stp>
        <stp>VIVH</stp>
        <tr r="AW15" s="1"/>
      </tp>
      <tp t="s">
        <v>-</v>
        <stp/>
        <stp>CMIG4_B_0</stp>
        <stp>THETA</stp>
        <tr r="AQ30" s="1"/>
      </tp>
      <tp>
        <v>200</v>
        <stp/>
        <stp>BBAS3_B_0</stp>
        <stp>QUL</stp>
        <tr r="O25" s="1"/>
      </tp>
      <tp t="s">
        <v>-</v>
        <stp/>
        <stp>MRVE3_B_0</stp>
        <stp>DELTA</stp>
        <tr r="AO21" s="1"/>
      </tp>
      <tp>
        <v>30545600</v>
        <stp/>
        <stp>BBAS3_B_0</stp>
        <stp>QTT</stp>
        <tr r="P25" s="1"/>
      </tp>
      <tp>
        <v>0</v>
        <stp/>
        <stp>BBAS3_B_0</stp>
        <stp>QTE</stp>
        <tr r="Y25" s="1"/>
      </tp>
      <tp t="s">
        <v>-</v>
        <stp/>
        <stp>IBOV_B_0</stp>
        <stp>VIB</stp>
        <tr r="AU34" s="1"/>
      </tp>
      <tp t="s">
        <v>-</v>
        <stp/>
        <stp>IBOV_B_0</stp>
        <stp>VIA</stp>
        <tr r="AT34" s="1"/>
      </tp>
      <tp>
        <v>941400</v>
        <stp/>
        <stp>BRAP4_B_0</stp>
        <stp>QTT</stp>
        <tr r="P24" s="1"/>
      </tp>
      <tp>
        <v>0</v>
        <stp/>
        <stp>BRAP4_B_0</stp>
        <stp>QTE</stp>
        <tr r="Y24" s="1"/>
      </tp>
      <tp t="s">
        <v>-</v>
        <stp/>
        <stp>GGBR4_B_0</stp>
        <stp>BLACK</stp>
        <tr r="AM37" s="1"/>
      </tp>
      <tp>
        <v>0</v>
        <stp/>
        <stp>DOLFUT_F_0</stp>
        <stp>PEX</stp>
        <tr r="I33" s="1"/>
      </tp>
      <tp>
        <v>100</v>
        <stp/>
        <stp>BRAP4_B_0</stp>
        <stp>QUL</stp>
        <tr r="O24" s="1"/>
      </tp>
      <tp>
        <v>15.11</v>
        <stp/>
        <stp>LREN3_B_0</stp>
        <stp>ULT</stp>
        <tr r="D17" s="1"/>
      </tp>
      <tp>
        <v>0</v>
        <stp/>
        <stp>BITFUT_F_0</stp>
        <stp>PEX</stp>
        <tr r="I43" s="1"/>
      </tp>
      <tp>
        <v>0</v>
        <stp/>
        <stp>BRFS3_B_0</stp>
        <stp>VPJ</stp>
        <tr r="Z31" s="1"/>
      </tp>
      <tp>
        <v>0</v>
        <stp/>
        <stp>CIEL3_B_0</stp>
        <stp>ULT</stp>
        <tr r="D18" s="1"/>
      </tp>
      <tp>
        <v>8.120000000000001</v>
        <stp/>
        <stp>MRVE3_B_0</stp>
        <stp>FEC</stp>
        <tr r="H21" s="1"/>
      </tp>
      <tp>
        <v>0</v>
        <stp/>
        <stp>ITSA4_B_0</stp>
        <stp>CAB</stp>
        <tr r="AK14" s="1"/>
      </tp>
      <tp>
        <v>300</v>
        <stp/>
        <stp>GOAU4_B_0</stp>
        <stp>QUL</stp>
        <tr r="O39" s="1"/>
      </tp>
      <tp t="s">
        <v>-</v>
        <stp/>
        <stp>CYRE3_B_0</stp>
        <stp>VINT</stp>
        <tr r="AX15" s="1"/>
      </tp>
      <tp>
        <v>0</v>
        <stp/>
        <stp>B3SA3_B_0</stp>
        <stp>CAB</stp>
        <tr r="AK40" s="1"/>
      </tp>
      <tp>
        <v>0</v>
        <stp/>
        <stp>GFSA3_B_0</stp>
        <stp>CAB</stp>
        <tr r="AK20" s="1"/>
      </tp>
      <tp>
        <v>0</v>
        <stp/>
        <stp>WINFUT_F_0</stp>
        <stp>PRT</stp>
        <tr r="X42" s="1"/>
      </tp>
      <tp>
        <v>0</v>
        <stp/>
        <stp>WDOFUT_F_0</stp>
        <stp>PRT</stp>
        <tr r="X41" s="1"/>
      </tp>
      <tp>
        <v>8956500</v>
        <stp/>
        <stp>GOAU4_B_0</stp>
        <stp>QTT</stp>
        <tr r="P39" s="1"/>
      </tp>
      <tp>
        <v>0</v>
        <stp/>
        <stp>GOAU4_B_0</stp>
        <stp>QTE</stp>
        <tr r="Y39" s="1"/>
      </tp>
      <tp>
        <v>14092555948</v>
        <stp/>
        <stp>IBOV_B_0</stp>
        <stp>VOL</stp>
        <tr r="Q34" s="1"/>
      </tp>
      <tp>
        <v>0</v>
        <stp/>
        <stp>IBOV_B_0</stp>
        <stp>VOC</stp>
        <tr r="T34" s="1"/>
      </tp>
      <tp>
        <v>0</v>
        <stp/>
        <stp>IBOV_B_0</stp>
        <stp>VOV</stp>
        <tr r="U34" s="1"/>
      </tp>
      <tp t="s">
        <v>-</v>
        <stp/>
        <stp>MRVE3_B_0</stp>
        <stp>VINT</stp>
        <tr r="AX21" s="1"/>
      </tp>
      <tp t="s">
        <v>31/12/9999</v>
        <stp/>
        <stp>IBOV_B_0</stp>
        <stp>VAL</stp>
        <tr r="AJ34" s="1"/>
      </tp>
      <tp>
        <v>-0.59234906488565731</v>
        <stp/>
        <stp>IBOV_B_0</stp>
        <stp>VAR</stp>
        <tr r="J34" s="1"/>
      </tp>
      <tp t="s">
        <v>-</v>
        <stp/>
        <stp>GOAU4_B_0</stp>
        <stp>BLACK</stp>
        <tr r="AM39" s="1"/>
      </tp>
      <tp t="s">
        <v>-</v>
        <stp/>
        <stp>VALE3_B_0</stp>
        <stp>VIVH</stp>
        <tr r="AW26" s="1"/>
      </tp>
      <tp t="s">
        <v>01/01/9999</v>
        <stp/>
        <stp>IBOV_B_0</stp>
        <stp>VEN</stp>
        <tr r="AI34" s="1"/>
      </tp>
      <tp>
        <v>0</v>
        <stp/>
        <stp>INDFUT_F_0</stp>
        <stp>PEX</stp>
        <tr r="I36" s="1"/>
      </tp>
      <tp>
        <v>0</v>
        <stp/>
        <stp>BBAS3_B_0</stp>
        <stp>PEX</stp>
        <tr r="I25" s="1"/>
      </tp>
      <tp t="s">
        <v>-</v>
        <stp/>
        <stp>BBDC4_B_0</stp>
        <stp>THETA</stp>
        <tr r="AQ22" s="1"/>
      </tp>
      <tp>
        <v>0</v>
        <stp/>
        <stp>EMBR3_B_0</stp>
        <stp>SEM</stp>
        <tr r="AA11" s="1"/>
      </tp>
      <tp>
        <v>-5.1580610328888383</v>
        <stp/>
        <stp>GGBR4_B_0</stp>
        <stp>SEM</stp>
        <tr r="AA37" s="1"/>
      </tp>
      <tp t="s">
        <v>-</v>
        <stp/>
        <stp>ECOR3_B_0</stp>
        <stp>THETA</stp>
        <tr r="AQ19" s="1"/>
      </tp>
      <tp>
        <v>-1.1553273427471098</v>
        <stp/>
        <stp>MRVE3_B_0</stp>
        <stp>SEMES</stp>
        <tr r="AH21" s="1"/>
      </tp>
      <tp>
        <v>0</v>
        <stp/>
        <stp>DOLFUT_F_0</stp>
        <stp>QTE</stp>
        <tr r="Y33" s="1"/>
      </tp>
      <tp>
        <v>231085</v>
        <stp/>
        <stp>DOLFUT_F_0</stp>
        <stp>QTT</stp>
        <tr r="P33" s="1"/>
      </tp>
      <tp>
        <v>5</v>
        <stp/>
        <stp>DOLFUT_F_0</stp>
        <stp>QUL</stp>
        <tr r="O33" s="1"/>
      </tp>
      <tp>
        <v>0</v>
        <stp/>
        <stp>BRAP4_B_0</stp>
        <stp>PEX</stp>
        <tr r="I24" s="1"/>
      </tp>
      <tp>
        <v>0</v>
        <stp/>
        <stp>BITFUT_F_0</stp>
        <stp>QTE</stp>
        <tr r="Y43" s="1"/>
      </tp>
      <tp>
        <v>472946</v>
        <stp/>
        <stp>BITFUT_F_0</stp>
        <stp>QTT</stp>
        <tr r="P43" s="1"/>
      </tp>
      <tp>
        <v>7</v>
        <stp/>
        <stp>BITFUT_F_0</stp>
        <stp>QUL</stp>
        <tr r="O43" s="1"/>
      </tp>
      <tp>
        <v>0</v>
        <stp/>
        <stp>GOAU4_B_0</stp>
        <stp>PEX</stp>
        <tr r="I39" s="1"/>
      </tp>
      <tp>
        <v>5</v>
        <stp/>
        <stp>INDFUT_F_0</stp>
        <stp>QUL</stp>
        <tr r="O36" s="1"/>
      </tp>
      <tp>
        <v>0</v>
        <stp/>
        <stp>INDFUT_F_0</stp>
        <stp>QTE</stp>
        <tr r="Y36" s="1"/>
      </tp>
      <tp>
        <v>64140</v>
        <stp/>
        <stp>INDFUT_F_0</stp>
        <stp>QTT</stp>
        <tr r="P36" s="1"/>
      </tp>
      <tp t="s">
        <v>-</v>
        <stp/>
        <stp>EMBR3_B_0</stp>
        <stp>THETA</stp>
        <tr r="AQ11" s="1"/>
      </tp>
      <tp>
        <v>2</v>
        <stp/>
        <stp>WDOFUT_F_0</stp>
        <stp>QUL</stp>
        <tr r="O41" s="1"/>
      </tp>
      <tp>
        <v>2</v>
        <stp/>
        <stp>WINFUT_F_0</stp>
        <stp>QUL</stp>
        <tr r="O42" s="1"/>
      </tp>
      <tp t="s">
        <v>-</v>
        <stp/>
        <stp>LREN3_B_0</stp>
        <stp>DELTA</stp>
        <tr r="AO17" s="1"/>
      </tp>
      <tp t="s">
        <v>-</v>
        <stp/>
        <stp>BRAP4_B_0</stp>
        <stp>THETA</stp>
        <tr r="AQ24" s="1"/>
      </tp>
      <tp>
        <v>0</v>
        <stp/>
        <stp>WINFUT_F_0</stp>
        <stp>QTE</stp>
        <tr r="Y42" s="1"/>
      </tp>
      <tp>
        <v>0</v>
        <stp/>
        <stp>WDOFUT_F_0</stp>
        <stp>QTE</stp>
        <tr r="Y41" s="1"/>
      </tp>
      <tp>
        <v>16616772</v>
        <stp/>
        <stp>WINFUT_F_0</stp>
        <stp>QTT</stp>
        <tr r="P42" s="1"/>
      </tp>
      <tp>
        <v>3066940</v>
        <stp/>
        <stp>WDOFUT_F_0</stp>
        <stp>QTT</stp>
        <tr r="P41" s="1"/>
      </tp>
      <tp>
        <v>0</v>
        <stp/>
        <stp>GOAU4_B_0</stp>
        <stp>PRT</stp>
        <tr r="X39" s="1"/>
      </tp>
      <tp>
        <v>0</v>
        <stp/>
        <stp>CYRE3_B_0</stp>
        <stp>CAB</stp>
        <tr r="AK15" s="1"/>
      </tp>
      <tp>
        <v>0</v>
        <stp/>
        <stp>BRAP4_B_0</stp>
        <stp>PRT</stp>
        <tr r="X24" s="1"/>
      </tp>
      <tp>
        <v>3.5794183445189982</v>
        <stp/>
        <stp>MGLU3_B_0</stp>
        <stp>SEMES</stp>
        <tr r="AH27" s="1"/>
      </tp>
      <tp t="s">
        <v>13/03/2026</v>
        <stp/>
        <stp>ITUB4_B_0</stp>
        <stp>DAT</stp>
        <tr r="B28" s="1"/>
      </tp>
      <tp t="s">
        <v>-</v>
        <stp/>
        <stp>CIEL3_B_0</stp>
        <stp>GAMA</stp>
        <tr r="AP18" s="1"/>
      </tp>
      <tp>
        <v>0</v>
        <stp/>
        <stp>BBAS3_B_0</stp>
        <stp>PRT</stp>
        <tr r="X25" s="1"/>
      </tp>
      <tp t="s">
        <v>Aberto</v>
        <stp/>
        <stp>PETR4_B_0</stp>
        <stp>EST</stp>
        <tr r="AL32" s="1"/>
      </tp>
      <tp t="s">
        <v>-</v>
        <stp/>
        <stp>ABEV3_B_0</stp>
        <stp>BLACK</stp>
        <tr r="AM38" s="1"/>
      </tp>
      <tp>
        <v>19.010000000000002</v>
        <stp/>
        <stp>BBDC4_B_0</stp>
        <stp>ULT</stp>
        <tr r="D22" s="1"/>
      </tp>
      <tp t="s">
        <v>01/04/2026</v>
        <stp/>
        <stp>WDOFUT_F_0</stp>
        <stp>VEN</stp>
        <tr r="AI41" s="1"/>
      </tp>
      <tp>
        <v>2435903044.8253555</v>
        <stp/>
        <stp>BITFUT_F_0</stp>
        <stp>VPJ</stp>
        <tr r="Z43" s="1"/>
      </tp>
      <tp t="s">
        <v>15/04/2026</v>
        <stp/>
        <stp>WINFUT_F_0</stp>
        <stp>VEN</stp>
        <tr r="AI42" s="1"/>
      </tp>
      <tp>
        <v>0</v>
        <stp/>
        <stp>BRFS3_B_0</stp>
        <stp>PEX</stp>
        <tr r="I31" s="1"/>
      </tp>
      <tp t="s">
        <v>-</v>
        <stp/>
        <stp>BBAS3_B_0</stp>
        <stp>THETA</stp>
        <tr r="AQ25" s="1"/>
      </tp>
      <tp t="s">
        <v>31/03/2026</v>
        <stp/>
        <stp>WDOFUT_F_0</stp>
        <stp>VAL</stp>
        <tr r="AJ41" s="1"/>
      </tp>
      <tp t="s">
        <v>15/04/2026</v>
        <stp/>
        <stp>WINFUT_F_0</stp>
        <stp>VAL</stp>
        <tr r="AJ42" s="1"/>
      </tp>
      <tp>
        <v>-0.5215087883888414</v>
        <stp/>
        <stp>WINFUT_F_0</stp>
        <stp>VAR</stp>
        <tr r="J42" s="1"/>
      </tp>
      <tp>
        <v>0.76690020829388372</v>
        <stp/>
        <stp>WDOFUT_F_0</stp>
        <stp>VAR</stp>
        <tr r="J41" s="1"/>
      </tp>
      <tp t="s">
        <v>Aberto</v>
        <stp/>
        <stp>ITSA4_B_0</stp>
        <stp>EST</stp>
        <tr r="AL14" s="1"/>
      </tp>
      <tp t="s">
        <v>Aberto</v>
        <stp/>
        <stp>GFSA3_B_0</stp>
        <stp>EST</stp>
        <tr r="AL20" s="1"/>
      </tp>
      <tp t="s">
        <v>Aberto</v>
        <stp/>
        <stp>B3SA3_B_0</stp>
        <stp>EST</stp>
        <tr r="AL40" s="1"/>
      </tp>
      <tp>
        <v>-0.78791858174655938</v>
        <stp/>
        <stp>ABEV3_B_0</stp>
        <stp>SEM</stp>
        <tr r="AA38" s="1"/>
      </tp>
      <tp t="s">
        <v>-</v>
        <stp/>
        <stp>PETR4_B_0</stp>
        <stp>IMPVT</stp>
        <tr r="AN32" s="1"/>
      </tp>
      <tp>
        <v>89829597874.327087</v>
        <stp/>
        <stp>DOLFUT_F_0</stp>
        <stp>VPJ</stp>
        <tr r="Z33" s="1"/>
      </tp>
      <tp t="s">
        <v>-</v>
        <stp/>
        <stp>BBDC4_B_0</stp>
        <stp>VIVH</stp>
        <tr r="AW22" s="1"/>
      </tp>
      <tp>
        <v>161918224910</v>
        <stp/>
        <stp>WDOFUT_F_0</stp>
        <stp>VOL</stp>
        <tr r="Q41" s="1"/>
      </tp>
      <tp>
        <v>86</v>
        <stp/>
        <stp>WINFUT_F_0</stp>
        <stp>VOC</stp>
        <tr r="T42" s="1"/>
      </tp>
      <tp>
        <v>603536076247</v>
        <stp/>
        <stp>WINFUT_F_0</stp>
        <stp>VOL</stp>
        <tr r="Q42" s="1"/>
      </tp>
      <tp>
        <v>70</v>
        <stp/>
        <stp>WDOFUT_F_0</stp>
        <stp>VOC</stp>
        <tr r="T41" s="1"/>
      </tp>
      <tp>
        <v>119</v>
        <stp/>
        <stp>WINFUT_F_0</stp>
        <stp>VOV</stp>
        <tr r="U42" s="1"/>
      </tp>
      <tp>
        <v>270</v>
        <stp/>
        <stp>WDOFUT_F_0</stp>
        <stp>VOV</stp>
        <tr r="U41" s="1"/>
      </tp>
      <tp>
        <v>0</v>
        <stp/>
        <stp>IBOV_B_0</stp>
        <stp>PRT</stp>
        <tr r="X34" s="1"/>
      </tp>
      <tp>
        <v>15637666225.002081</v>
        <stp/>
        <stp>INDFUT_F_0</stp>
        <stp>VPJ</stp>
        <tr r="Z36" s="1"/>
      </tp>
      <tp t="s">
        <v>-</v>
        <stp/>
        <stp>WINFUT_F_0</stp>
        <stp>VIA</stp>
        <tr r="AT42" s="1"/>
      </tp>
      <tp t="s">
        <v>-</v>
        <stp/>
        <stp>WINFUT_F_0</stp>
        <stp>VIB</stp>
        <tr r="AU42" s="1"/>
      </tp>
      <tp t="s">
        <v>-</v>
        <stp/>
        <stp>WDOFUT_F_0</stp>
        <stp>VIA</stp>
        <tr r="AT41" s="1"/>
      </tp>
      <tp t="s">
        <v>-</v>
        <stp/>
        <stp>WDOFUT_F_0</stp>
        <stp>VIB</stp>
        <tr r="AU41" s="1"/>
      </tp>
      <tp t="s">
        <v>-</v>
        <stp/>
        <stp>BBDC4_B_0</stp>
        <stp>VINT</stp>
        <tr r="AX22" s="1"/>
      </tp>
      <tp t="s">
        <v>-</v>
        <stp/>
        <stp>BRFS3_B_0</stp>
        <stp>THETA</stp>
        <tr r="AQ31" s="1"/>
      </tp>
      <tp t="s">
        <v>27/03/2026</v>
        <stp/>
        <stp>BITFUT_F_0</stp>
        <stp>VAL</stp>
        <tr r="AJ43" s="1"/>
      </tp>
      <tp>
        <v>1.7799526779952679</v>
        <stp/>
        <stp>BITFUT_F_0</stp>
        <stp>VAR</stp>
        <tr r="J43" s="1"/>
      </tp>
      <tp t="s">
        <v>-</v>
        <stp/>
        <stp>INDFUT_F_0</stp>
        <stp>VIB</stp>
        <tr r="AU36" s="1"/>
      </tp>
      <tp t="s">
        <v>-</v>
        <stp/>
        <stp>INDFUT_F_0</stp>
        <stp>VIA</stp>
        <tr r="AT36" s="1"/>
      </tp>
      <tp t="s">
        <v>13/03/2026</v>
        <stp/>
        <stp>CYRE3_B_0</stp>
        <stp>DAT</stp>
        <tr r="B15" s="1"/>
      </tp>
      <tp t="s">
        <v>01/04/2026</v>
        <stp/>
        <stp>DOLFUT_F_0</stp>
        <stp>VEN</stp>
        <tr r="AI33" s="1"/>
      </tp>
      <tp>
        <v>5</v>
        <stp/>
        <stp>INDFUT_F_0</stp>
        <stp>VOC</stp>
        <tr r="T36" s="1"/>
      </tp>
      <tp>
        <v>11645198675</v>
        <stp/>
        <stp>INDFUT_F_0</stp>
        <stp>VOL</stp>
        <tr r="Q36" s="1"/>
      </tp>
      <tp>
        <v>5</v>
        <stp/>
        <stp>INDFUT_F_0</stp>
        <stp>VOV</stp>
        <tr r="U36" s="1"/>
      </tp>
      <tp>
        <v>217390533694.44205</v>
        <stp/>
        <stp>WDOFUT_F_0</stp>
        <stp>VPJ</stp>
        <tr r="Z41" s="1"/>
      </tp>
      <tp>
        <v>810304274223.06653</v>
        <stp/>
        <stp>WINFUT_F_0</stp>
        <stp>VPJ</stp>
        <tr r="Z42" s="1"/>
      </tp>
      <tp t="s">
        <v>27/03/2026</v>
        <stp/>
        <stp>BITFUT_F_0</stp>
        <stp>VEN</stp>
        <tr r="AI43" s="1"/>
      </tp>
      <tp>
        <v>0</v>
        <stp/>
        <stp>ITUB4_B_0</stp>
        <stp>CAB</stp>
        <tr r="AK28" s="1"/>
      </tp>
      <tp t="s">
        <v>31/03/2026</v>
        <stp/>
        <stp>DOLFUT_F_0</stp>
        <stp>VAL</stp>
        <tr r="AJ33" s="1"/>
      </tp>
      <tp>
        <v>0.75736059831487268</v>
        <stp/>
        <stp>DOLFUT_F_0</stp>
        <stp>VAR</stp>
        <tr r="J33" s="1"/>
      </tp>
      <tp>
        <v>0</v>
        <stp/>
        <stp>BRFS3_B_0</stp>
        <stp>PRT</stp>
        <tr r="X31" s="1"/>
      </tp>
      <tp t="s">
        <v>-</v>
        <stp/>
        <stp>BITFUT_F_0</stp>
        <stp>VIA</stp>
        <tr r="AT43" s="1"/>
      </tp>
      <tp t="s">
        <v>-</v>
        <stp/>
        <stp>BITFUT_F_0</stp>
        <stp>VIB</stp>
        <tr r="AU43" s="1"/>
      </tp>
      <tp>
        <v>15</v>
        <stp/>
        <stp>DOLFUT_F_0</stp>
        <stp>VOC</stp>
        <tr r="T33" s="1"/>
      </tp>
      <tp>
        <v>61091272000</v>
        <stp/>
        <stp>DOLFUT_F_0</stp>
        <stp>VOL</stp>
        <tr r="Q33" s="1"/>
      </tp>
      <tp>
        <v>65</v>
        <stp/>
        <stp>DOLFUT_F_0</stp>
        <stp>VOV</stp>
        <tr r="U33" s="1"/>
      </tp>
      <tp t="s">
        <v>15/04/2026</v>
        <stp/>
        <stp>INDFUT_F_0</stp>
        <stp>VAL</stp>
        <tr r="AJ36" s="1"/>
      </tp>
      <tp>
        <v>-0.52702739990618352</v>
        <stp/>
        <stp>INDFUT_F_0</stp>
        <stp>VAR</stp>
        <tr r="J36" s="1"/>
      </tp>
      <tp t="s">
        <v>-</v>
        <stp/>
        <stp>BBDC4_B_0</stp>
        <stp>RHO</stp>
        <tr r="AR22" s="1"/>
      </tp>
      <tp>
        <v>2.3019634394041844</v>
        <stp/>
        <stp>LREN3_B_0</stp>
        <stp>SEM</stp>
        <tr r="AA17" s="1"/>
      </tp>
      <tp>
        <v>0</v>
        <stp/>
        <stp>IBOV_B_0</stp>
        <stp>PEX</stp>
        <tr r="I34" s="1"/>
      </tp>
      <tp t="s">
        <v>15/04/2026</v>
        <stp/>
        <stp>INDFUT_F_0</stp>
        <stp>VEN</stp>
        <tr r="AI36" s="1"/>
      </tp>
      <tp>
        <v>54</v>
        <stp/>
        <stp>BITFUT_F_0</stp>
        <stp>VOC</stp>
        <tr r="T43" s="1"/>
      </tp>
      <tp t="s">
        <v>-</v>
        <stp/>
        <stp>DOLFUT_F_0</stp>
        <stp>VIB</stp>
        <tr r="AU33" s="1"/>
      </tp>
      <tp t="s">
        <v>-</v>
        <stp/>
        <stp>DOLFUT_F_0</stp>
        <stp>VIA</stp>
        <tr r="AT33" s="1"/>
      </tp>
      <tp>
        <v>1813571836.2</v>
        <stp/>
        <stp>BITFUT_F_0</stp>
        <stp>VOL</stp>
        <tr r="Q43" s="1"/>
      </tp>
      <tp>
        <v>17</v>
        <stp/>
        <stp>BITFUT_F_0</stp>
        <stp>VOV</stp>
        <tr r="U43" s="1"/>
      </tp>
      <tp>
        <v>0</v>
        <stp/>
        <stp>CIEL3_B_0</stp>
        <stp>SEM</stp>
        <tr r="AA18" s="1"/>
      </tp>
      <tp t="s">
        <v>-</v>
        <stp/>
        <stp>B3SA3_B_0</stp>
        <stp>THETA</stp>
        <tr r="AQ40" s="1"/>
      </tp>
      <tp>
        <v>-0.82000000000000028</v>
        <stp/>
        <stp>CYRE3_B_0</stp>
        <stp>VARPTS</stp>
        <tr r="K15" s="1"/>
      </tp>
      <tp>
        <v>41</v>
        <stp/>
        <stp>VIVT3_B_0</stp>
        <stp>ABE</stp>
        <tr r="E12" s="1"/>
      </tp>
      <tp t="s">
        <v>Aberto</v>
        <stp/>
        <stp>CYRE3_B_0</stp>
        <stp>EST</stp>
        <tr r="AL15" s="1"/>
      </tp>
      <tp t="s">
        <v>-</v>
        <stp/>
        <stp>BBAS3_B_0</stp>
        <stp>VEN</stp>
        <tr r="AI25" s="1"/>
      </tp>
      <tp t="s">
        <v>-</v>
        <stp/>
        <stp>VALE3_B_0</stp>
        <stp>IMPVT</stp>
        <tr r="AN26" s="1"/>
      </tp>
      <tp>
        <v>-1.225490196078427</v>
        <stp/>
        <stp>GOAU4_B_0</stp>
        <stp>VAR</stp>
        <tr r="J39" s="1"/>
      </tp>
      <tp t="s">
        <v>31/12/9999</v>
        <stp/>
        <stp>GOAU4_B_0</stp>
        <stp>VAL</stp>
        <tr r="AJ39" s="1"/>
      </tp>
      <tp t="s">
        <v>-</v>
        <stp/>
        <stp>ITUB4_B_0</stp>
        <stp>VIVH</stp>
        <tr r="AW28" s="1"/>
      </tp>
      <tp t="s">
        <v>-</v>
        <stp/>
        <stp>BRAP4_B_0</stp>
        <stp>VEN</stp>
        <tr r="AI24" s="1"/>
      </tp>
      <tp>
        <v>-1.4032191498142792</v>
        <stp/>
        <stp>BBAS3_B_0</stp>
        <stp>VAR</stp>
        <tr r="J25" s="1"/>
      </tp>
      <tp t="s">
        <v>31/12/9999</v>
        <stp/>
        <stp>BBAS3_B_0</stp>
        <stp>VAL</stp>
        <tr r="AJ25" s="1"/>
      </tp>
      <tp>
        <v>0</v>
        <stp/>
        <stp>PETR4_B_0</stp>
        <stp>CAB</stp>
        <tr r="AK32" s="1"/>
      </tp>
      <tp t="s">
        <v>-</v>
        <stp/>
        <stp>GOAU4_B_0</stp>
        <stp>VEN</stp>
        <tr r="AI39" s="1"/>
      </tp>
      <tp t="s">
        <v>-</v>
        <stp/>
        <stp>SUZB3_B_0</stp>
        <stp>VINT</stp>
        <tr r="AX29" s="1"/>
      </tp>
      <tp>
        <v>-1.6851441241685101</v>
        <stp/>
        <stp>BRAP4_B_0</stp>
        <stp>VAR</stp>
        <tr r="J24" s="1"/>
      </tp>
      <tp t="s">
        <v>31/12/9999</v>
        <stp/>
        <stp>BRAP4_B_0</stp>
        <stp>VAL</stp>
        <tr r="AJ24" s="1"/>
      </tp>
      <tp>
        <v>0</v>
        <stp/>
        <stp>EMBR3_B_0</stp>
        <stp>ULT</stp>
        <tr r="D11" s="1"/>
      </tp>
      <tp>
        <v>0</v>
        <stp/>
        <stp>VIVT3_B_0</stp>
        <stp>AJA</stp>
        <tr r="W12" s="1"/>
      </tp>
      <tp>
        <v>17.829999999999998</v>
        <stp/>
        <stp>GGBR4_B_0</stp>
        <stp>ULT</stp>
        <tr r="D37" s="1"/>
      </tp>
      <tp t="s">
        <v>-</v>
        <stp/>
        <stp>ABEV3_B_0</stp>
        <stp>RHO</stp>
        <tr r="AR38" s="1"/>
      </tp>
      <tp>
        <v>0</v>
        <stp/>
        <stp>VIVT3_B_0</stp>
        <stp>AJU</stp>
        <tr r="V12" s="1"/>
      </tp>
      <tp>
        <v>4100</v>
        <stp/>
        <stp>BRAP4_B_0</stp>
        <stp>VOV</stp>
        <tr r="U24" s="1"/>
      </tp>
      <tp>
        <v>21053451</v>
        <stp/>
        <stp>BRAP4_B_0</stp>
        <stp>VOL</stp>
        <tr r="Q24" s="1"/>
      </tp>
      <tp>
        <v>2200</v>
        <stp/>
        <stp>BRAP4_B_0</stp>
        <stp>VOC</stp>
        <tr r="T24" s="1"/>
      </tp>
      <tp t="s">
        <v>-</v>
        <stp/>
        <stp>VIVT3_B_0</stp>
        <stp>IMPVT</stp>
        <tr r="AN12" s="1"/>
      </tp>
      <tp>
        <v>6300</v>
        <stp/>
        <stp>BBAS3_B_0</stp>
        <stp>VOV</stp>
        <tr r="U25" s="1"/>
      </tp>
      <tp>
        <v>737687115</v>
        <stp/>
        <stp>BBAS3_B_0</stp>
        <stp>VOL</stp>
        <tr r="Q25" s="1"/>
      </tp>
      <tp t="s">
        <v>-</v>
        <stp/>
        <stp>GOAU4_B_0</stp>
        <stp>VIB</stp>
        <tr r="AU39" s="1"/>
      </tp>
      <tp>
        <v>10600</v>
        <stp/>
        <stp>BBAS3_B_0</stp>
        <stp>VOC</stp>
        <tr r="T25" s="1"/>
      </tp>
      <tp t="s">
        <v>-</v>
        <stp/>
        <stp>GOAU4_B_0</stp>
        <stp>VIA</stp>
        <tr r="AT39" s="1"/>
      </tp>
      <tp t="s">
        <v>-</v>
        <stp/>
        <stp>CIEL3_B_0</stp>
        <stp>THETA</stp>
        <tr r="AQ18" s="1"/>
      </tp>
      <tp>
        <v>24.092165452184105</v>
        <stp/>
        <stp>VIVT3_B_0</stp>
        <stp>ANO</stp>
        <tr r="AF12" s="1"/>
      </tp>
      <tp>
        <v>93800</v>
        <stp/>
        <stp>GOAU4_B_0</stp>
        <stp>VOV</stp>
        <tr r="U39" s="1"/>
      </tp>
      <tp>
        <v>72824407</v>
        <stp/>
        <stp>GOAU4_B_0</stp>
        <stp>VOL</stp>
        <tr r="Q39" s="1"/>
      </tp>
      <tp t="s">
        <v>-</v>
        <stp/>
        <stp>BBAS3_B_0</stp>
        <stp>VIA</stp>
        <tr r="AT25" s="1"/>
      </tp>
      <tp>
        <v>4300</v>
        <stp/>
        <stp>GOAU4_B_0</stp>
        <stp>VOC</stp>
        <tr r="T39" s="1"/>
      </tp>
      <tp t="s">
        <v>-</v>
        <stp/>
        <stp>BBAS3_B_0</stp>
        <stp>VIB</stp>
        <tr r="AU25" s="1"/>
      </tp>
      <tp>
        <v>0</v>
        <stp/>
        <stp>IBOV_B_0</stp>
        <stp>QTE</stp>
        <tr r="Y34" s="1"/>
      </tp>
      <tp>
        <v>609427600</v>
        <stp/>
        <stp>IBOV_B_0</stp>
        <stp>QTT</stp>
        <tr r="P34" s="1"/>
      </tp>
      <tp>
        <v>0</v>
        <stp/>
        <stp>IBOV_B_0</stp>
        <stp>QUL</stp>
        <tr r="O34" s="1"/>
      </tp>
      <tp t="s">
        <v>-</v>
        <stp/>
        <stp>LREN3_B_0</stp>
        <stp>VEXT</stp>
        <tr r="AY17" s="1"/>
      </tp>
      <tp t="s">
        <v>-</v>
        <stp/>
        <stp>BRAP4_B_0</stp>
        <stp>VIB</stp>
        <tr r="AU24" s="1"/>
      </tp>
      <tp t="s">
        <v>-</v>
        <stp/>
        <stp>BRAP4_B_0</stp>
        <stp>VIA</stp>
        <tr r="AT24" s="1"/>
      </tp>
      <tp t="s">
        <v>-</v>
        <stp/>
        <stp>LREN3_B_0</stp>
        <stp>VEGA</stp>
        <tr r="AS17" s="1"/>
      </tp>
      <tp>
        <v>-2.7621483375959035</v>
        <stp/>
        <stp>BBDC4_B_0</stp>
        <stp>SEM</stp>
        <tr r="AA22" s="1"/>
      </tp>
      <tp>
        <v>0</v>
        <stp/>
        <stp>BRFS3_B_0</stp>
        <stp>QUL</stp>
        <tr r="O31" s="1"/>
      </tp>
      <tp t="s">
        <v>-</v>
        <stp/>
        <stp>LREN3_B_0</stp>
        <stp>RHO</stp>
        <tr r="AR17" s="1"/>
      </tp>
      <tp>
        <v>53.379592078655605</v>
        <stp/>
        <stp>SUZB3_B_0</stp>
        <stp>MED</stp>
        <tr r="L29" s="1"/>
      </tp>
      <tp>
        <v>0</v>
        <stp/>
        <stp>BRFS3_B_0</stp>
        <stp>QTT</stp>
        <tr r="P31" s="1"/>
      </tp>
      <tp>
        <v>8.19</v>
        <stp/>
        <stp>MRVE3_B_0</stp>
        <stp>ABE</stp>
        <tr r="E21" s="1"/>
      </tp>
      <tp>
        <v>-8.172413793103452</v>
        <stp/>
        <stp>SUZB3_B_0</stp>
        <stp>MES</stp>
        <tr r="AB29" s="1"/>
      </tp>
      <tp>
        <v>0</v>
        <stp/>
        <stp>BRFS3_B_0</stp>
        <stp>QTE</stp>
        <tr r="Y31" s="1"/>
      </tp>
      <tp t="s">
        <v>-</v>
        <stp/>
        <stp>CSNA3_B_0</stp>
        <stp>THETA</stp>
        <tr r="AQ16" s="1"/>
      </tp>
      <tp t="s">
        <v>-</v>
        <stp/>
        <stp>CIEL3_B_0</stp>
        <stp>RHO</stp>
        <tr r="AR18" s="1"/>
      </tp>
      <tp>
        <v>84122530.145997107</v>
        <stp/>
        <stp>GOAU4_B_0</stp>
        <stp>VPJ</stp>
        <tr r="Z39" s="1"/>
      </tp>
      <tp t="s">
        <v>-</v>
        <stp/>
        <stp>GFSA3_B_0</stp>
        <stp>BLACK</stp>
        <tr r="AM20" s="1"/>
      </tp>
      <tp>
        <v>53.77</v>
        <stp/>
        <stp>SUZB3_B_0</stp>
        <stp>MAX</stp>
        <tr r="F29" s="1"/>
      </tp>
      <tp>
        <v>852133359.21707046</v>
        <stp/>
        <stp>BBAS3_B_0</stp>
        <stp>VPJ</stp>
        <tr r="Z25" s="1"/>
      </tp>
      <tp t="s">
        <v>13/03/2026</v>
        <stp/>
        <stp>ITSA4_B_0</stp>
        <stp>DAT</stp>
        <tr r="B14" s="1"/>
      </tp>
      <tp t="s">
        <v>13/03/2026</v>
        <stp/>
        <stp>GFSA3_B_0</stp>
        <stp>DAT</stp>
        <tr r="B20" s="1"/>
      </tp>
      <tp t="s">
        <v>13/03/2026</v>
        <stp/>
        <stp>B3SA3_B_0</stp>
        <stp>DAT</stp>
        <tr r="B40" s="1"/>
      </tp>
      <tp>
        <v>24319725.204556394</v>
        <stp/>
        <stp>BRAP4_B_0</stp>
        <stp>VPJ</stp>
        <tr r="Z24" s="1"/>
      </tp>
      <tp>
        <v>0</v>
        <stp/>
        <stp>MRVE3_B_0</stp>
        <stp>AJU</stp>
        <tr r="V21" s="1"/>
      </tp>
      <tp>
        <v>0</v>
        <stp/>
        <stp>MRVE3_B_0</stp>
        <stp>AJA</stp>
        <tr r="W21" s="1"/>
      </tp>
      <tp t="s">
        <v>-</v>
        <stp/>
        <stp>ITUB4_B_0</stp>
        <stp>VINT</stp>
        <tr r="AX28" s="1"/>
      </tp>
      <tp t="s">
        <v>-</v>
        <stp/>
        <stp>CYRE3_B_0</stp>
        <stp>THETA</stp>
        <tr r="AQ15" s="1"/>
      </tp>
      <tp>
        <v>53.09</v>
        <stp/>
        <stp>SUZB3_B_0</stp>
        <stp>MIN</stp>
        <tr r="G29" s="1"/>
      </tp>
      <tp>
        <v>-1.1553273427471098</v>
        <stp/>
        <stp>MRVE3_B_0</stp>
        <stp>ANO</stp>
        <tr r="AF21" s="1"/>
      </tp>
      <tp t="s">
        <v>-</v>
        <stp/>
        <stp>SUZB3_B_0</stp>
        <stp>VIVH</stp>
        <tr r="AW29" s="1"/>
      </tp>
      <tp t="s">
        <v>-</v>
        <stp/>
        <stp>IBOV_B_0</stp>
        <stp>VEGA</stp>
        <tr r="AS34" s="1"/>
      </tp>
      <tp t="s">
        <v>-</v>
        <stp/>
        <stp>IBOV_B_0</stp>
        <stp>VEXT</stp>
        <tr r="AY34" s="1"/>
      </tp>
      <tp t="s">
        <v>-</v>
        <stp/>
        <stp>INDFUT_F_0</stp>
        <stp>VEGA</stp>
        <tr r="AS36" s="1"/>
      </tp>
      <tp t="s">
        <v>-</v>
        <stp/>
        <stp>INDFUT_F_0</stp>
        <stp>VEXT</stp>
        <tr r="AY36" s="1"/>
      </tp>
      <tp t="s">
        <v>-</v>
        <stp/>
        <stp>EMBR3_B_0</stp>
        <stp>VEN</stp>
        <tr r="AI11" s="1"/>
      </tp>
      <tp t="s">
        <v>-</v>
        <stp/>
        <stp>GGBR4_B_0</stp>
        <stp>VEN</stp>
        <tr r="AI37" s="1"/>
      </tp>
      <tp t="s">
        <v>-</v>
        <stp/>
        <stp>ITSA4_B_0</stp>
        <stp>VIVH</stp>
        <tr r="AW14" s="1"/>
      </tp>
      <tp>
        <v>-1.1092623405435542</v>
        <stp/>
        <stp>GGBR4_B_0</stp>
        <stp>VAR</stp>
        <tr r="J37" s="1"/>
      </tp>
      <tp>
        <v>0</v>
        <stp/>
        <stp>EMBR3_B_0</stp>
        <stp>VAR</stp>
        <tr r="J11" s="1"/>
      </tp>
      <tp t="s">
        <v>31/12/9999</v>
        <stp/>
        <stp>EMBR3_B_0</stp>
        <stp>VAL</stp>
        <tr r="AJ11" s="1"/>
      </tp>
      <tp t="s">
        <v>31/12/9999</v>
        <stp/>
        <stp>GGBR4_B_0</stp>
        <stp>VAL</stp>
        <tr r="AJ37" s="1"/>
      </tp>
      <tp t="s">
        <v>-</v>
        <stp/>
        <stp>GGBR4_B_0</stp>
        <stp>THETA</stp>
        <tr r="AQ37" s="1"/>
      </tp>
      <tp>
        <v>0</v>
        <stp/>
        <stp>BBDC4_B_0</stp>
        <stp>PRT</stp>
        <tr r="X22" s="1"/>
      </tp>
      <tp>
        <v>23.89</v>
        <stp/>
        <stp>BBAS3_B_0</stp>
        <stp>ULT</stp>
        <tr r="D25" s="1"/>
      </tp>
      <tp>
        <v>22.17</v>
        <stp/>
        <stp>BRAP4_B_0</stp>
        <stp>ULT</stp>
        <tr r="D24" s="1"/>
      </tp>
      <tp t="s">
        <v>-</v>
        <stp/>
        <stp>GFSA3_B_0</stp>
        <stp>VIVH</stp>
        <tr r="AW20" s="1"/>
      </tp>
      <tp>
        <v>0</v>
        <stp/>
        <stp>EMBR3_B_0</stp>
        <stp>VOV</stp>
        <tr r="U11" s="1"/>
      </tp>
      <tp>
        <v>11300</v>
        <stp/>
        <stp>GGBR4_B_0</stp>
        <stp>VOV</stp>
        <tr r="U37" s="1"/>
      </tp>
      <tp>
        <v>0</v>
        <stp/>
        <stp>EMBR3_B_0</stp>
        <stp>VOL</stp>
        <tr r="Q11" s="1"/>
      </tp>
      <tp>
        <v>236647810</v>
        <stp/>
        <stp>GGBR4_B_0</stp>
        <stp>VOL</stp>
        <tr r="Q37" s="1"/>
      </tp>
      <tp>
        <v>10000</v>
        <stp/>
        <stp>GGBR4_B_0</stp>
        <stp>VOC</stp>
        <tr r="T37" s="1"/>
      </tp>
      <tp>
        <v>0</v>
        <stp/>
        <stp>EMBR3_B_0</stp>
        <stp>VOC</stp>
        <tr r="T11" s="1"/>
      </tp>
      <tp>
        <v>8994100</v>
        <stp/>
        <stp>LREN3_B_0</stp>
        <stp>QTT</stp>
        <tr r="P17" s="1"/>
      </tp>
      <tp>
        <v>0</v>
        <stp/>
        <stp>LREN3_B_0</stp>
        <stp>QTE</stp>
        <tr r="Y17" s="1"/>
      </tp>
      <tp t="s">
        <v>-</v>
        <stp/>
        <stp>BRFS3_B_0</stp>
        <stp>RHO</stp>
        <tr r="AR31" s="1"/>
      </tp>
      <tp t="s">
        <v>-</v>
        <stp/>
        <stp>GGBR4_B_0</stp>
        <stp>VIB</stp>
        <tr r="AU37" s="1"/>
      </tp>
      <tp t="s">
        <v>-</v>
        <stp/>
        <stp>GGBR4_B_0</stp>
        <stp>VIA</stp>
        <tr r="AT37" s="1"/>
      </tp>
      <tp>
        <v>100</v>
        <stp/>
        <stp>LREN3_B_0</stp>
        <stp>QUL</stp>
        <tr r="O17" s="1"/>
      </tp>
      <tp t="s">
        <v>-</v>
        <stp/>
        <stp>EMBR3_B_0</stp>
        <stp>VIB</stp>
        <tr r="AU11" s="1"/>
      </tp>
      <tp t="s">
        <v>-</v>
        <stp/>
        <stp>EMBR3_B_0</stp>
        <stp>VIA</stp>
        <tr r="AT11" s="1"/>
      </tp>
      <tp t="s">
        <v>-</v>
        <stp/>
        <stp>GOAU4_B_0</stp>
        <stp>THETA</stp>
        <tr r="AQ39" s="1"/>
      </tp>
      <tp t="s">
        <v>-</v>
        <stp/>
        <stp>CSNA3_B_0</stp>
        <stp>VIVH</stp>
        <tr r="AW16" s="1"/>
      </tp>
      <tp>
        <v>0</v>
        <stp/>
        <stp>CIEL3_B_0</stp>
        <stp>QTT</stp>
        <tr r="P18" s="1"/>
      </tp>
      <tp>
        <v>0</v>
        <stp/>
        <stp>CIEL3_B_0</stp>
        <stp>QTE</stp>
        <tr r="Y18" s="1"/>
      </tp>
      <tp t="s">
        <v>-</v>
        <stp/>
        <stp>USIM5_B_0</stp>
        <stp>VEGA</stp>
        <tr r="AS35" s="1"/>
      </tp>
      <tp>
        <v>8.06</v>
        <stp/>
        <stp>GOAU4_B_0</stp>
        <stp>ULT</stp>
        <tr r="D39" s="1"/>
      </tp>
      <tp>
        <v>0</v>
        <stp/>
        <stp>CIEL3_B_0</stp>
        <stp>QUL</stp>
        <tr r="O18" s="1"/>
      </tp>
      <tp t="s">
        <v>-</v>
        <stp/>
        <stp>B3SA3_B_0</stp>
        <stp>VIVH</stp>
        <tr r="AW40" s="1"/>
      </tp>
      <tp>
        <v>0</v>
        <stp/>
        <stp>BBDC4_B_0</stp>
        <stp>PEX</stp>
        <tr r="I22" s="1"/>
      </tp>
      <tp t="s">
        <v>-</v>
        <stp/>
        <stp>USIM5_B_0</stp>
        <stp>VEXT</stp>
        <tr r="AY35" s="1"/>
      </tp>
      <tp t="s">
        <v>-</v>
        <stp/>
        <stp>IBOV_B_0</stp>
        <stp>RHO</stp>
        <tr r="AR34" s="1"/>
      </tp>
      <tp>
        <v>8682</v>
        <stp/>
        <stp>SUZB3_B_0</stp>
        <stp>NEG</stp>
        <tr r="N29" s="1"/>
      </tp>
      <tp t="s">
        <v>-</v>
        <stp/>
        <stp>GFSA3_B_0</stp>
        <stp>VINT</stp>
        <tr r="AX20" s="1"/>
      </tp>
      <tp>
        <v>17071700</v>
        <stp/>
        <stp>ABEV3_B_0</stp>
        <stp>QTT</stp>
        <tr r="P38" s="1"/>
      </tp>
      <tp>
        <v>273376441.11669695</v>
        <stp/>
        <stp>GGBR4_B_0</stp>
        <stp>VPJ</stp>
        <tr r="Z37" s="1"/>
      </tp>
      <tp>
        <v>0</v>
        <stp/>
        <stp>EMBR3_B_0</stp>
        <stp>VPJ</stp>
        <tr r="Z11" s="1"/>
      </tp>
      <tp>
        <v>0</v>
        <stp/>
        <stp>ABEV3_B_0</stp>
        <stp>QTE</stp>
        <tr r="Y38" s="1"/>
      </tp>
      <tp>
        <v>500</v>
        <stp/>
        <stp>ABEV3_B_0</stp>
        <stp>QUL</stp>
        <tr r="O38" s="1"/>
      </tp>
      <tp t="s">
        <v>-</v>
        <stp/>
        <stp>CSNA3_B_0</stp>
        <stp>VINT</stp>
        <tr r="AX16" s="1"/>
      </tp>
      <tp>
        <v>42.83</v>
        <stp/>
        <stp>ITUB4_B_0</stp>
        <stp>ABE</stp>
        <tr r="E28" s="1"/>
      </tp>
      <tp>
        <v>27.52</v>
        <stp/>
        <stp>CYRE3_B_0</stp>
        <stp>FEC</stp>
        <tr r="H15" s="1"/>
      </tp>
      <tp t="s">
        <v>-</v>
        <stp/>
        <stp>B3SA3_B_0</stp>
        <stp>VINT</stp>
        <tr r="AX40" s="1"/>
      </tp>
      <tp t="s">
        <v>-</v>
        <stp/>
        <stp>CMIG4_B_0</stp>
        <stp>BLACK</stp>
        <tr r="AM30" s="1"/>
      </tp>
      <tp>
        <v>8.4241120527090647</v>
        <stp/>
        <stp>ITUB4_B_0</stp>
        <stp>ANO</stp>
        <tr r="AF28" s="1"/>
      </tp>
      <tp t="s">
        <v>-</v>
        <stp/>
        <stp>ITSA4_B_0</stp>
        <stp>VINT</stp>
        <tr r="AX14" s="1"/>
      </tp>
      <tp>
        <v>0</v>
        <stp/>
        <stp>ITUB4_B_0</stp>
        <stp>AJU</stp>
        <tr r="V28" s="1"/>
      </tp>
      <tp>
        <v>0</v>
        <stp/>
        <stp>ITUB4_B_0</stp>
        <stp>AJA</stp>
        <tr r="W28" s="1"/>
      </tp>
      <tp t="s">
        <v>-</v>
        <stp/>
        <stp>CYRE3_B_0</stp>
        <stp>DOBRAR</stp>
        <tr r="AV15" s="1"/>
      </tp>
      <tp t="s">
        <v>-</v>
        <stp/>
        <stp>DOLFUT_F_0</stp>
        <stp>VINT</stp>
        <tr r="AX33" s="1"/>
      </tp>
      <tp t="s">
        <v>-</v>
        <stp/>
        <stp>DOLFUT_F_0</stp>
        <stp>VIVH</stp>
        <tr r="AW33" s="1"/>
      </tp>
      <tp t="s">
        <v>-</v>
        <stp/>
        <stp>CIEL3_B_0</stp>
        <stp>VEXT</stp>
        <tr r="AY18" s="1"/>
      </tp>
      <tp>
        <v>100</v>
        <stp/>
        <stp>BBDC4_B_0</stp>
        <stp>QUL</stp>
        <tr r="O22" s="1"/>
      </tp>
      <tp>
        <v>0</v>
        <stp/>
        <stp>BRFS3_B_0</stp>
        <stp>SEM</stp>
        <tr r="AA31" s="1"/>
      </tp>
      <tp t="s">
        <v>-</v>
        <stp/>
        <stp>ABEV3_B_0</stp>
        <stp>THETA</stp>
        <tr r="AQ38" s="1"/>
      </tp>
      <tp>
        <v>24133600</v>
        <stp/>
        <stp>BBDC4_B_0</stp>
        <stp>QTT</stp>
        <tr r="P22" s="1"/>
      </tp>
      <tp>
        <v>0</v>
        <stp/>
        <stp>BBDC4_B_0</stp>
        <stp>QTE</stp>
        <tr r="Y22" s="1"/>
      </tp>
      <tp>
        <v>53.27</v>
        <stp/>
        <stp>SUZB3_B_0</stp>
        <stp>OVD</stp>
        <tr r="S29" s="1"/>
      </tp>
      <tp>
        <v>0</v>
        <stp/>
        <stp>VIVT3_B_0</stp>
        <stp>CAB</stp>
        <tr r="AK12" s="1"/>
      </tp>
      <tp>
        <v>0</v>
        <stp/>
        <stp>ABEV3_B_0</stp>
        <stp>PEX</stp>
        <tr r="I38" s="1"/>
      </tp>
      <tp>
        <v>44.61</v>
        <stp/>
        <stp>PETR4_B_0</stp>
        <stp>ABE</stp>
        <tr r="E32" s="1"/>
      </tp>
      <tp t="s">
        <v>-</v>
        <stp/>
        <stp>BRAP4_B_0</stp>
        <stp>BLACK</stp>
        <tr r="AM24" s="1"/>
      </tp>
      <tp>
        <v>0</v>
        <stp/>
        <stp>CIEL3_B_0</stp>
        <stp>PRT</stp>
        <tr r="X18" s="1"/>
      </tp>
      <tp>
        <v>180260</v>
        <stp/>
        <stp>WINFUT_F_0</stp>
        <stp>ULT</stp>
        <tr r="D42" s="1"/>
      </tp>
      <tp>
        <v>5321.5</v>
        <stp/>
        <stp>WDOFUT_F_0</stp>
        <stp>ULT</stp>
        <tr r="D41" s="1"/>
      </tp>
      <tp>
        <v>0</v>
        <stp/>
        <stp>LREN3_B_0</stp>
        <stp>PRT</stp>
        <tr r="X17" s="1"/>
      </tp>
      <tp>
        <v>44.970798182998053</v>
        <stp/>
        <stp>PETR4_B_0</stp>
        <stp>ANO</stp>
        <tr r="AF32" s="1"/>
      </tp>
      <tp>
        <v>0</v>
        <stp/>
        <stp>PETR4_B_0</stp>
        <stp>AJA</stp>
        <tr r="W32" s="1"/>
      </tp>
      <tp>
        <v>0</v>
        <stp/>
        <stp>PETR4_B_0</stp>
        <stp>AJU</stp>
        <tr r="V32" s="1"/>
      </tp>
      <tp>
        <v>0</v>
        <stp/>
        <stp>ABEV3_B_0</stp>
        <stp>PRT</stp>
        <tr r="X38" s="1"/>
      </tp>
      <tp>
        <v>0</v>
        <stp/>
        <stp>MRVE3_B_0</stp>
        <stp>CAB</stp>
        <tr r="AK21" s="1"/>
      </tp>
      <tp>
        <v>13.33</v>
        <stp/>
        <stp>ITSA4_B_0</stp>
        <stp>FEC</stp>
        <tr r="H14" s="1"/>
      </tp>
      <tp>
        <v>17.14</v>
        <stp/>
        <stp>B3SA3_B_0</stp>
        <stp>FEC</stp>
        <tr r="H40" s="1"/>
      </tp>
      <tp>
        <v>1.9700000000000002</v>
        <stp/>
        <stp>GFSA3_B_0</stp>
        <stp>FEC</stp>
        <tr r="H20" s="1"/>
      </tp>
      <tp t="s">
        <v>-</v>
        <stp/>
        <stp>ECOR3_B_0</stp>
        <stp>BLACK</stp>
        <tr r="AM19" s="1"/>
      </tp>
      <tp>
        <v>180250</v>
        <stp/>
        <stp>INDFUT_F_0</stp>
        <stp>ULT</stp>
        <tr r="D36" s="1"/>
      </tp>
      <tp>
        <v>53.25</v>
        <stp/>
        <stp>SUZB3_B_0</stp>
        <stp>OCP</stp>
        <tr r="R29" s="1"/>
      </tp>
      <tp t="s">
        <v>-</v>
        <stp/>
        <stp>BBDC4_B_0</stp>
        <stp>BLACK</stp>
        <tr r="AM22" s="1"/>
      </tp>
      <tp t="s">
        <v>-</v>
        <stp/>
        <stp>EMBR3_B_0</stp>
        <stp>BLACK</stp>
        <tr r="AM11" s="1"/>
      </tp>
      <tp>
        <v>5321.5</v>
        <stp/>
        <stp>DOLFUT_F_0</stp>
        <stp>ULT</stp>
        <tr r="D33" s="1"/>
      </tp>
      <tp>
        <v>378540</v>
        <stp/>
        <stp>BITFUT_F_0</stp>
        <stp>ULT</stp>
        <tr r="D43" s="1"/>
      </tp>
      <tp>
        <v>0</v>
        <stp/>
        <stp>LREN3_B_0</stp>
        <stp>PEX</stp>
        <tr r="I17" s="1"/>
      </tp>
      <tp>
        <v>-0.63686959349107974</v>
        <stp/>
        <stp>IBOV_B_0</stp>
        <stp>SEM</stp>
        <tr r="AA34" s="1"/>
      </tp>
      <tp>
        <v>0</v>
        <stp/>
        <stp>CIEL3_B_0</stp>
        <stp>PEX</stp>
        <tr r="I18" s="1"/>
      </tp>
      <tp t="s">
        <v>-</v>
        <stp/>
        <stp>CIEL3_B_0</stp>
        <stp>VEGA</stp>
        <tr r="AS18" s="1"/>
      </tp>
      <tp>
        <v>-0.61374650347367532</v>
        <stp/>
        <stp>SUZB3_B_0</stp>
        <stp>12M</stp>
        <tr r="AE29" s="1"/>
      </tp>
      <tp t="s">
        <v>-</v>
        <stp/>
        <stp>IBOV_B_0</stp>
        <stp>DELTA</stp>
        <tr r="AO34" s="1"/>
      </tp>
      <tp>
        <v>10.611072607622255</v>
        <stp/>
        <stp>IBOV_B_0</stp>
        <stp>SEMES</stp>
        <tr r="AH34" s="1"/>
      </tp>
      <tp t="s">
        <v>-</v>
        <stp/>
        <stp>DOLPT_E_0</stp>
        <stp>IMPVT</stp>
        <tr r="AN13" s="1"/>
      </tp>
      <tp>
        <v>-91.652542372881356</v>
        <stp/>
        <stp>GFSA3_B_0</stp>
        <stp>12M</stp>
        <tr r="AE20" s="1"/>
      </tp>
      <tp>
        <v>67.993276313837924</v>
        <stp/>
        <stp>B3SA3_B_0</stp>
        <stp>12M</stp>
        <tr r="AE40" s="1"/>
      </tp>
      <tp>
        <v>66.947019616274787</v>
        <stp/>
        <stp>ITSA4_B_0</stp>
        <stp>12M</stp>
        <tr r="AE14" s="1"/>
      </tp>
      <tp>
        <v>61.658482832111297</v>
        <stp/>
        <stp>CYRE3_B_0</stp>
        <stp>12M</stp>
        <tr r="AE15" s="1"/>
      </tp>
      <tp t="s">
        <v>-</v>
        <stp/>
        <stp>IBOV_B_0</stp>
        <stp>THETA</stp>
        <tr r="AQ34" s="1"/>
      </tp>
      <tp>
        <v>65.236051502145926</v>
        <stp/>
        <stp>MRVE3_B_0</stp>
        <stp>12M</stp>
        <tr r="AE21" s="1"/>
      </tp>
      <tp>
        <v>71.284824223075603</v>
        <stp/>
        <stp>VIVT3_B_0</stp>
        <stp>12M</stp>
        <tr r="AE12" s="1"/>
      </tp>
      <tp>
        <v>58.67858716678991</v>
        <stp/>
        <stp>ITUB4_B_0</stp>
        <stp>12M</stp>
        <tr r="AE28" s="1"/>
      </tp>
      <tp>
        <v>44.567865682604278</v>
        <stp/>
        <stp>PETR4_B_0</stp>
        <stp>12M</stp>
        <tr r="AE32" s="1"/>
      </tp>
      <tp t="s">
        <v>-</v>
        <stp/>
        <stp>IBOV_B_0</stp>
        <stp>BLACK</stp>
        <tr r="AM34" s="1"/>
      </tp>
      <tp>
        <v>-9.8297346469396896</v>
        <stp/>
        <stp>DOLPT_E_0</stp>
        <stp>12M</stp>
        <tr r="AE13" s="1"/>
      </tp>
      <tp>
        <v>21.365957927838128</v>
        <stp/>
        <stp>CMIG4_B_0</stp>
        <stp>12M</stp>
        <tr r="AE30" s="1"/>
      </tp>
      <tp>
        <v>9.0443686006825832</v>
        <stp/>
        <stp>USIM5_B_0</stp>
        <stp>12M</stp>
        <tr r="AE35" s="1"/>
      </tp>
      <tp t="s">
        <v>0,00 0,00</v>
        <stp/>
        <stp>B3SA3_B_0</stp>
        <stp>101_psicotrade</stp>
        <tr r="AZ40" s="1"/>
      </tp>
      <tp t="s">
        <v>-</v>
        <stp/>
        <stp>DOLPT_E_0</stp>
        <stp>DELTA</stp>
        <tr r="AO13" s="1"/>
      </tp>
      <tp>
        <v>82.803116377211495</v>
        <stp/>
        <stp>ECOR3_B_0</stp>
        <stp>12M</stp>
        <tr r="AE19" s="1"/>
      </tp>
      <tp t="s">
        <v>-</v>
        <stp/>
        <stp>B3SA3_B_0</stp>
        <stp>DOBRAR</stp>
        <tr r="AV40" s="1"/>
      </tp>
      <tp>
        <v>-4.5130684503253402</v>
        <stp/>
        <stp>DOLPT_E_0</stp>
        <stp>SEMES</stp>
        <tr r="AH13" s="1"/>
      </tp>
      <tp>
        <v>-32.585596221959861</v>
        <stp/>
        <stp>CSNA3_B_0</stp>
        <stp>12M</stp>
        <tr r="AE16" s="1"/>
      </tp>
      <tp>
        <v>56.080904912083952</v>
        <stp/>
        <stp>RENT3_B_0</stp>
        <stp>12M</stp>
        <tr r="AE23" s="1"/>
      </tp>
      <tp>
        <v>-0.15000000000000213</v>
        <stp/>
        <stp>B3SA3_B_0</stp>
        <stp>VARPTS</stp>
        <tr r="K40" s="1"/>
      </tp>
      <tp>
        <v>58.102052253421242</v>
        <stp/>
        <stp>VALE3_B_0</stp>
        <stp>12M</stp>
        <tr r="AE26" s="1"/>
      </tp>
      <tp>
        <v>16.733479565337959</v>
        <stp/>
        <stp>MGLU3_B_0</stp>
        <stp>12M</stp>
        <tr r="AE27" s="1"/>
      </tp>
      <tp t="s">
        <v>-</v>
        <stp/>
        <stp>DOLPT_E_0</stp>
        <stp>BLACK</stp>
        <tr r="AM13" s="1"/>
      </tp>
      <tp>
        <v>0</v>
        <stp/>
        <stp>EMBR3_B_0</stp>
        <stp>12M</stp>
        <tr r="AE11" s="1"/>
      </tp>
      <tp>
        <v>11.767213279173539</v>
        <stp/>
        <stp>GGBR4_B_0</stp>
        <stp>12M</stp>
        <tr r="AE37" s="1"/>
      </tp>
      <tp>
        <v>23.636698317252392</v>
        <stp/>
        <stp>GOAU4_B_0</stp>
        <stp>12M</stp>
        <tr r="AE39" s="1"/>
      </tp>
      <tp>
        <v>55.480749000631192</v>
        <stp/>
        <stp>BRAP4_B_0</stp>
        <stp>12M</stp>
        <tr r="AE24" s="1"/>
      </tp>
      <tp>
        <v>-9.0511087846197817</v>
        <stp/>
        <stp>BBAS3_B_0</stp>
        <stp>12M</stp>
        <tr r="AE25" s="1"/>
      </tp>
      <tp>
        <v>-34.529359018698742</v>
        <stp/>
        <stp>BITFUT_F_0</stp>
        <stp>12M</stp>
        <tr r="AE43" s="1"/>
      </tp>
      <tp>
        <v>-16.038947420445968</v>
        <stp/>
        <stp>DOLFUT_F_0</stp>
        <stp>12M</stp>
        <tr r="AE33" s="1"/>
      </tp>
      <tp>
        <v>27.726373473049815</v>
        <stp/>
        <stp>INDFUT_F_0</stp>
        <stp>12M</stp>
        <tr r="AE36" s="1"/>
      </tp>
      <tp>
        <v>-16.016698010989916</v>
        <stp/>
        <stp>WDOFUT_F_0</stp>
        <stp>12M</stp>
        <tr r="AE41" s="1"/>
      </tp>
      <tp>
        <v>27.51068943627768</v>
        <stp/>
        <stp>WINFUT_F_0</stp>
        <stp>12M</stp>
        <tr r="AE42" s="1"/>
      </tp>
      <tp t="s">
        <v>-</v>
        <stp/>
        <stp>DOLPT_E_0</stp>
        <stp>THETA</stp>
        <tr r="AQ13" s="1"/>
      </tp>
      <tp>
        <v>43.886213452712056</v>
        <stp/>
        <stp>IBOV_B_0</stp>
        <stp>12M</stp>
        <tr r="AE34" s="1"/>
      </tp>
      <tp>
        <v>0</v>
        <stp/>
        <stp>BRFS3_B_0</stp>
        <stp>12M</stp>
        <tr r="AE31" s="1"/>
      </tp>
      <tp>
        <v>0</v>
        <stp/>
        <stp>CIEL3_B_0</stp>
        <stp>12M</stp>
        <tr r="AE18" s="1"/>
      </tp>
      <tp>
        <v>30.944952856350511</v>
        <stp/>
        <stp>LREN3_B_0</stp>
        <stp>12M</stp>
        <tr r="AE17" s="1"/>
      </tp>
      <tp>
        <v>25.550477773161607</v>
        <stp/>
        <stp>ABEV3_B_0</stp>
        <stp>12M</stp>
        <tr r="AE38" s="1"/>
      </tp>
      <tp t="s">
        <v>-</v>
        <stp/>
        <stp>IBOV_B_0</stp>
        <stp>IMPVT</stp>
        <tr r="AN34" s="1"/>
      </tp>
      <tp>
        <v>78.813304236586674</v>
        <stp/>
        <stp>BBDC4_B_0</stp>
        <stp>12M</stp>
        <tr r="AE22" s="1"/>
      </tp>
      <tp>
        <v>-28.380282554611025</v>
        <stp/>
        <stp>BITFUT_F_0</stp>
        <stp>3M</stp>
        <tr r="AC43" s="1"/>
      </tp>
      <tp>
        <v>-44.258469074827254</v>
        <stp/>
        <stp>BITFUT_F_0</stp>
        <stp>6M</stp>
        <tr r="AD43" s="1"/>
      </tp>
      <tp t="s">
        <v>383.462,77</v>
        <stp/>
        <stp>BITFUT_F_0</stp>
        <stp>67</stp>
        <tr r="BA43" s="1"/>
      </tp>
      <tp>
        <v>6.8561872909698867</v>
        <stp/>
        <stp>USIM5_B_0</stp>
        <stp>3M</stp>
        <tr r="AC35" s="1"/>
      </tp>
      <tp>
        <v>-26.98209718670077</v>
        <stp/>
        <stp>CSNA3_B_0</stp>
        <stp>6M</stp>
        <tr r="AD16" s="1"/>
      </tp>
      <tp t="s">
        <v>5,86</v>
        <stp/>
        <stp>CSNA3_B_0</stp>
        <stp>67</stp>
        <tr r="BA16" s="1"/>
      </tp>
      <tp>
        <v>40.748898678414086</v>
        <stp/>
        <stp>USIM5_B_0</stp>
        <stp>6M</stp>
        <tr r="AD35" s="1"/>
      </tp>
      <tp t="s">
        <v>6,39</v>
        <stp/>
        <stp>USIM5_B_0</stp>
        <stp>67</stp>
        <tr r="BA35" s="1"/>
      </tp>
      <tp>
        <v>-41.555783009211886</v>
        <stp/>
        <stp>CSNA3_B_0</stp>
        <stp>3M</stp>
        <tr r="AC16" s="1"/>
      </tp>
      <tp>
        <v>-0.25906735751295934</v>
        <stp/>
        <stp>MRVE3_B_0</stp>
        <stp>6M</stp>
        <tr r="AD21" s="1"/>
      </tp>
      <tp t="s">
        <v>7,87</v>
        <stp/>
        <stp>MRVE3_B_0</stp>
        <stp>67</stp>
        <tr r="BA21" s="1"/>
      </tp>
      <tp>
        <v>-6.3260340632603453</v>
        <stp/>
        <stp>MRVE3_B_0</stp>
        <stp>3M</stp>
        <tr r="AC21" s="1"/>
      </tp>
      <tp>
        <v>14.33374934246492</v>
        <stp/>
        <stp>BRAP4_B_0</stp>
        <stp>3M</stp>
        <tr r="AC24" s="1"/>
      </tp>
      <tp>
        <v>-4.1869843947166583</v>
        <stp/>
        <stp>LREN3_B_0</stp>
        <stp>6M</stp>
        <tr r="AD17" s="1"/>
      </tp>
      <tp t="s">
        <v>15,23</v>
        <stp/>
        <stp>LREN3_B_0</stp>
        <stp>67</stp>
        <tr r="BA17" s="1"/>
      </tp>
      <tp>
        <v>0</v>
        <stp/>
        <stp>BRFS3_B_0</stp>
        <stp>6M</stp>
        <tr r="AD31" s="1"/>
      </tp>
      <tp t="s">
        <v>-</v>
        <stp/>
        <stp>BRFS3_B_0</stp>
        <stp>67</stp>
        <tr r="BA31" s="1"/>
      </tp>
      <tp>
        <v>8.8114990206244919</v>
        <stp/>
        <stp>LREN3_B_0</stp>
        <stp>3M</stp>
        <tr r="AC17" s="1"/>
      </tp>
      <tp>
        <v>46.824109088260037</v>
        <stp/>
        <stp>BRAP4_B_0</stp>
        <stp>6M</stp>
        <tr r="AD24" s="1"/>
      </tp>
      <tp t="s">
        <v>22,36</v>
        <stp/>
        <stp>BRAP4_B_0</stp>
        <stp>67</stp>
        <tr r="BA24" s="1"/>
      </tp>
      <tp>
        <v>0</v>
        <stp/>
        <stp>BRFS3_B_0</stp>
        <stp>3M</stp>
        <tr r="AC31" s="1"/>
      </tp>
      <tp>
        <v>9.993824980535253</v>
        <stp/>
        <stp>SUZB3_B_0</stp>
        <stp>3M</stp>
        <tr r="AC29" s="1"/>
      </tp>
      <tp>
        <v>5.555852840157983</v>
        <stp/>
        <stp>SUZB3_B_0</stp>
        <stp>6M</stp>
        <tr r="AD29" s="1"/>
      </tp>
      <tp t="s">
        <v>53,38</v>
        <stp/>
        <stp>SUZB3_B_0</stp>
        <stp>67</stp>
        <tr r="BA29" s="1"/>
      </tp>
      <tp>
        <v>22.010050251256278</v>
        <stp/>
        <stp>ITUB4_B_0</stp>
        <stp>6M</stp>
        <tr r="AD28" s="1"/>
      </tp>
      <tp t="s">
        <v>42,79</v>
        <stp/>
        <stp>ITUB4_B_0</stp>
        <stp>67</stp>
        <tr r="BA28" s="1"/>
      </tp>
      <tp>
        <v>15.243583027763213</v>
        <stp/>
        <stp>ITSA4_B_0</stp>
        <stp>3M</stp>
        <tr r="AC14" s="1"/>
      </tp>
      <tp>
        <v>11.166634835002959</v>
        <stp/>
        <stp>ITUB4_B_0</stp>
        <stp>3M</stp>
        <tr r="AC28" s="1"/>
      </tp>
      <tp>
        <v>30.104379195126995</v>
        <stp/>
        <stp>ITSA4_B_0</stp>
        <stp>6M</stp>
        <tr r="AD14" s="1"/>
      </tp>
      <tp t="s">
        <v>13,29</v>
        <stp/>
        <stp>ITSA4_B_0</stp>
        <stp>67</stp>
        <tr r="BA14" s="1"/>
      </tp>
      <tp>
        <v>-3.312366239720161</v>
        <stp/>
        <stp>CYRE3_B_0</stp>
        <stp>3M</stp>
        <tr r="AC15" s="1"/>
      </tp>
      <tp>
        <v>12.793389546967665</v>
        <stp/>
        <stp>CYRE3_B_0</stp>
        <stp>6M</stp>
        <tr r="AD15" s="1"/>
      </tp>
      <tp t="s">
        <v>27,17</v>
        <stp/>
        <stp>CYRE3_B_0</stp>
        <stp>67</stp>
        <tr r="BA15" s="1"/>
      </tp>
      <tp>
        <v>44.767601191100212</v>
        <stp/>
        <stp>VALE3_B_0</stp>
        <stp>6M</stp>
        <tr r="AD26" s="1"/>
      </tp>
      <tp t="s">
        <v>79,05</v>
        <stp/>
        <stp>VALE3_B_0</stp>
        <stp>67</stp>
        <tr r="BA26" s="1"/>
      </tp>
      <tp>
        <v>14.64786311589906</v>
        <stp/>
        <stp>VALE3_B_0</stp>
        <stp>3M</stp>
        <tr r="AC26" s="1"/>
      </tp>
      <tp>
        <v>8.3655824898052149</v>
        <stp/>
        <stp>INDFUT_F_0</stp>
        <stp>3M</stp>
        <tr r="AC36" s="1"/>
      </tp>
      <tp>
        <v>16.90545646570515</v>
        <stp/>
        <stp>INDFUT_F_0</stp>
        <stp>6M</stp>
        <tr r="AD36" s="1"/>
      </tp>
      <tp t="s">
        <v>181.035</v>
        <stp/>
        <stp>INDFUT_F_0</stp>
        <stp>67</stp>
        <tr r="BA36" s="1"/>
      </tp>
      <tp>
        <v>11.648079306071866</v>
        <stp/>
        <stp>ECOR3_B_0</stp>
        <stp>6M</stp>
        <tr r="AD19" s="1"/>
      </tp>
      <tp t="s">
        <v>9,22</v>
        <stp/>
        <stp>ECOR3_B_0</stp>
        <stp>67</stp>
        <tr r="BA19" s="1"/>
      </tp>
      <tp>
        <v>-13.862332695984714</v>
        <stp/>
        <stp>ECOR3_B_0</stp>
        <stp>3M</stp>
        <tr r="AC19" s="1"/>
      </tp>
      <tp>
        <v>11.784908803354011</v>
        <stp/>
        <stp>BBAS3_B_0</stp>
        <stp>3M</stp>
        <tr r="AC25" s="1"/>
      </tp>
      <tp>
        <v>15.858824103023542</v>
        <stp/>
        <stp>BBDC4_B_0</stp>
        <stp>6M</stp>
        <tr r="AD22" s="1"/>
      </tp>
      <tp t="s">
        <v>19,17</v>
        <stp/>
        <stp>BBDC4_B_0</stp>
        <stp>67</stp>
        <tr r="BA22" s="1"/>
      </tp>
      <tp>
        <v>26.980125215345179</v>
        <stp/>
        <stp>ABEV3_B_0</stp>
        <stp>6M</stp>
        <tr r="AD38" s="1"/>
      </tp>
      <tp t="s">
        <v>15,13</v>
        <stp/>
        <stp>ABEV3_B_0</stp>
        <stp>67</stp>
        <tr r="BA38" s="1"/>
      </tp>
      <tp>
        <v>15.369051163998124</v>
        <stp/>
        <stp>ABEV3_B_0</stp>
        <stp>3M</stp>
        <tr r="AC38" s="1"/>
      </tp>
      <tp>
        <v>9.001647115722422</v>
        <stp/>
        <stp>BBAS3_B_0</stp>
        <stp>6M</stp>
        <tr r="AD25" s="1"/>
      </tp>
      <tp>
        <v>4.6391298604077704</v>
        <stp/>
        <stp>BBDC4_B_0</stp>
        <stp>3M</stp>
        <tr r="AC22" s="1"/>
      </tp>
      <tp t="s">
        <v>24,15</v>
        <stp/>
        <stp>BBAS3_B_0</stp>
        <stp>67</stp>
        <tr r="BA25" s="1"/>
      </tp>
      <tp>
        <v>46.319577939409015</v>
        <stp/>
        <stp>PETR4_B_0</stp>
        <stp>6M</stp>
        <tr r="AD32" s="1"/>
      </tp>
      <tp t="s">
        <v>44,68</v>
        <stp/>
        <stp>PETR4_B_0</stp>
        <stp>67</stp>
        <tr r="BA32" s="1"/>
      </tp>
      <tp>
        <v>46.927769282625484</v>
        <stp/>
        <stp>PETR4_B_0</stp>
        <stp>3M</stp>
        <tr r="AC32" s="1"/>
      </tp>
      <tp>
        <v>19.787397927157194</v>
        <stp/>
        <stp>RENT3_B_0</stp>
        <stp>6M</stp>
        <tr r="AD23" s="1"/>
      </tp>
      <tp t="s">
        <v>44,31</v>
        <stp/>
        <stp>RENT3_B_0</stp>
        <stp>67</stp>
        <tr r="BA23" s="1"/>
      </tp>
      <tp>
        <v>-1.9436254381122893</v>
        <stp/>
        <stp>RENT3_B_0</stp>
        <stp>3M</stp>
        <tr r="AC23" s="1"/>
      </tp>
      <tp>
        <v>-2.7699027699027678</v>
        <stp/>
        <stp>MGLU3_B_0</stp>
        <stp>6M</stp>
        <tr r="AD27" s="1"/>
      </tp>
      <tp t="s">
        <v>9,92</v>
        <stp/>
        <stp>MGLU3_B_0</stp>
        <stp>67</stp>
        <tr r="BA27" s="1"/>
      </tp>
      <tp>
        <v>1.4927990530261377</v>
        <stp/>
        <stp>MGLU3_B_0</stp>
        <stp>3M</stp>
        <tr r="AC27" s="1"/>
      </tp>
      <tp>
        <v>-9.7425409777975833</v>
        <stp/>
        <stp>GGBR4_B_0</stp>
        <stp>3M</stp>
        <tr r="AC37" s="1"/>
      </tp>
      <tp>
        <v>7.010605033039444</v>
        <stp/>
        <stp>GGBR4_B_0</stp>
        <stp>6M</stp>
        <tr r="AD37" s="1"/>
      </tp>
      <tp t="s">
        <v>18,05</v>
        <stp/>
        <stp>GGBR4_B_0</stp>
        <stp>67</stp>
        <tr r="BA37" s="1"/>
      </tp>
      <tp>
        <v>-62.332695984703648</v>
        <stp/>
        <stp>GFSA3_B_0</stp>
        <stp>3M</stp>
        <tr r="AC20" s="1"/>
      </tp>
      <tp>
        <v>-83.569641367806497</v>
        <stp/>
        <stp>GFSA3_B_0</stp>
        <stp>6M</stp>
        <tr r="AD20" s="1"/>
      </tp>
      <tp t="s">
        <v>1,97</v>
        <stp/>
        <stp>GFSA3_B_0</stp>
        <stp>67</stp>
        <tr r="BA20" s="1"/>
      </tp>
      <tp>
        <v>24.141774206737391</v>
        <stp/>
        <stp>VIVT3_B_0</stp>
        <stp>6M</stp>
        <tr r="AD12" s="1"/>
      </tp>
      <tp t="s">
        <v>41,02</v>
        <stp/>
        <stp>VIVT3_B_0</stp>
        <stp>67</stp>
        <tr r="BA12" s="1"/>
      </tp>
      <tp>
        <v>23.769551301407088</v>
        <stp/>
        <stp>VIVT3_B_0</stp>
        <stp>3M</stp>
        <tr r="AC12" s="1"/>
      </tp>
      <tp>
        <v>0</v>
        <stp/>
        <stp>CIEL3_B_0</stp>
        <stp>6M</stp>
        <tr r="AD18" s="1"/>
      </tp>
      <tp t="s">
        <v>-</v>
        <stp/>
        <stp>CIEL3_B_0</stp>
        <stp>67</stp>
        <tr r="BA18" s="1"/>
      </tp>
      <tp>
        <v>0</v>
        <stp/>
        <stp>CIEL3_B_0</stp>
        <stp>3M</stp>
        <tr r="AC18" s="1"/>
      </tp>
      <tp>
        <v>-1061.9900000000198</v>
        <stp/>
        <stp>IBOV_B_0</stp>
        <stp>VARPTS</stp>
        <tr r="K34" s="1"/>
      </tp>
      <tp>
        <v>-4.0206113117456841</v>
        <stp/>
        <stp>DOLFUT_F_0</stp>
        <stp>3M</stp>
        <tr r="AC33" s="1"/>
      </tp>
      <tp>
        <v>-5.784867056817351</v>
        <stp/>
        <stp>DOLFUT_F_0</stp>
        <stp>6M</stp>
        <tr r="AD33" s="1"/>
      </tp>
      <tp t="s">
        <v>5.287,342</v>
        <stp/>
        <stp>DOLFUT_F_0</stp>
        <stp>67</stp>
        <tr r="BA33" s="1"/>
      </tp>
      <tp>
        <v>-4.1801135992964848</v>
        <stp/>
        <stp>WDOFUT_F_0</stp>
        <stp>3M</stp>
        <tr r="AC41" s="1"/>
      </tp>
      <tp>
        <v>-5.8276611052823224</v>
        <stp/>
        <stp>WDOFUT_F_0</stp>
        <stp>6M</stp>
        <tr r="AD41" s="1"/>
      </tp>
      <tp t="s">
        <v>5.279,472</v>
        <stp/>
        <stp>WDOFUT_F_0</stp>
        <stp>67</stp>
        <tr r="BA41" s="1"/>
      </tp>
      <tp t="s">
        <v>-</v>
        <stp/>
        <stp>IBOV_B_0</stp>
        <stp>DOBRAR</stp>
        <tr r="AV34" s="1"/>
      </tp>
      <tp>
        <v>8.3642848245756163</v>
        <stp/>
        <stp>WINFUT_F_0</stp>
        <stp>3M</stp>
        <tr r="AC42" s="1"/>
      </tp>
      <tp>
        <v>16.76972170055738</v>
        <stp/>
        <stp>WINFUT_F_0</stp>
        <stp>6M</stp>
        <tr r="AD42" s="1"/>
      </tp>
      <tp t="s">
        <v>181.604</v>
        <stp/>
        <stp>WINFUT_F_0</stp>
        <stp>67</stp>
        <tr r="BA42" s="1"/>
      </tp>
      <tp>
        <v>11.30798665435147</v>
        <stp/>
        <stp>CMIG4_B_0</stp>
        <stp>3M</stp>
        <tr r="AC30" s="1"/>
      </tp>
      <tp>
        <v>12.18770779899306</v>
        <stp/>
        <stp>CMIG4_B_0</stp>
        <stp>6M</stp>
        <tr r="AD30" s="1"/>
      </tp>
      <tp t="s">
        <v>11,87</v>
        <stp/>
        <stp>CMIG4_B_0</stp>
        <stp>67</stp>
        <tr r="BA30" s="1"/>
      </tp>
      <tp>
        <v>0</v>
        <stp/>
        <stp>EMBR3_B_0</stp>
        <stp>3M</stp>
        <tr r="AC11" s="1"/>
      </tp>
      <tp>
        <v>0</v>
        <stp/>
        <stp>EMBR3_B_0</stp>
        <stp>6M</stp>
        <tr r="AD11" s="1"/>
      </tp>
      <tp t="s">
        <v>87,17</v>
        <stp/>
        <stp>EMBR3_B_0</stp>
        <stp>67</stp>
        <tr r="BA11" s="1"/>
      </tp>
      <tp t="s">
        <v>0,00 0,00</v>
        <stp/>
        <stp>IBOV_B_0</stp>
        <stp>101_psicotrade</stp>
        <tr r="AZ34" s="1"/>
      </tp>
      <tp>
        <v>-3.1273625785989556</v>
        <stp/>
        <stp>DOLPT_E_0</stp>
        <stp>3M</stp>
        <tr r="AC13" s="1"/>
      </tp>
      <tp>
        <v>-2.4455916214810873</v>
        <stp/>
        <stp>DOLPT_E_0</stp>
        <stp>6M</stp>
        <tr r="AD13" s="1"/>
      </tp>
      <tp t="s">
        <v>5,2535</v>
        <stp/>
        <stp>DOLPT_E_0</stp>
        <stp>67</stp>
        <tr r="BA13" s="1"/>
      </tp>
      <tp>
        <v>-6.2496365137892145</v>
        <stp/>
        <stp>GOAU4_B_0</stp>
        <stp>3M</stp>
        <tr r="AC39" s="1"/>
      </tp>
      <tp>
        <v>14.550467581933438</v>
        <stp/>
        <stp>GOAU4_B_0</stp>
        <stp>6M</stp>
        <tr r="AD39" s="1"/>
      </tp>
      <tp t="s">
        <v>8,13</v>
        <stp/>
        <stp>GOAU4_B_0</stp>
        <stp>67</stp>
        <tr r="BA39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0:BA43"/>
  <sheetViews>
    <sheetView tabSelected="1" topLeftCell="A28" workbookViewId="0">
      <selection activeCell="A41" sqref="A41:XFD43"/>
    </sheetView>
  </sheetViews>
  <sheetFormatPr defaultRowHeight="14.5" x14ac:dyDescent="0.35"/>
  <cols>
    <col min="3" max="3" width="7.90625" bestFit="1" customWidth="1"/>
    <col min="13" max="13" width="19.6328125" bestFit="1" customWidth="1"/>
  </cols>
  <sheetData>
    <row r="10" spans="1:53" x14ac:dyDescent="0.35">
      <c r="A10" t="s">
        <v>0</v>
      </c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M10" t="s">
        <v>12</v>
      </c>
      <c r="N10" t="s">
        <v>13</v>
      </c>
      <c r="O10" t="s">
        <v>14</v>
      </c>
      <c r="P10" t="s">
        <v>15</v>
      </c>
      <c r="Q10" t="s">
        <v>16</v>
      </c>
      <c r="R10" t="s">
        <v>17</v>
      </c>
      <c r="S10" t="s">
        <v>18</v>
      </c>
      <c r="T10" t="s">
        <v>19</v>
      </c>
      <c r="U10" t="s">
        <v>20</v>
      </c>
      <c r="V10" t="s">
        <v>21</v>
      </c>
      <c r="W10" t="s">
        <v>22</v>
      </c>
      <c r="X10" t="s">
        <v>23</v>
      </c>
      <c r="Y10" t="s">
        <v>24</v>
      </c>
      <c r="Z10" t="s">
        <v>25</v>
      </c>
      <c r="AA10" t="s">
        <v>26</v>
      </c>
      <c r="AB10" t="s">
        <v>27</v>
      </c>
      <c r="AC10" t="s">
        <v>28</v>
      </c>
      <c r="AD10" t="s">
        <v>29</v>
      </c>
      <c r="AE10" t="s">
        <v>30</v>
      </c>
      <c r="AF10" t="s">
        <v>31</v>
      </c>
      <c r="AG10" t="s">
        <v>32</v>
      </c>
      <c r="AH10" t="s">
        <v>33</v>
      </c>
      <c r="AI10" t="s">
        <v>34</v>
      </c>
      <c r="AJ10" t="s">
        <v>35</v>
      </c>
      <c r="AK10" t="s">
        <v>36</v>
      </c>
      <c r="AL10" t="s">
        <v>37</v>
      </c>
      <c r="AM10" t="s">
        <v>38</v>
      </c>
      <c r="AN10" t="s">
        <v>39</v>
      </c>
      <c r="AO10" t="s">
        <v>40</v>
      </c>
      <c r="AP10" t="s">
        <v>41</v>
      </c>
      <c r="AQ10" t="s">
        <v>42</v>
      </c>
      <c r="AR10" t="s">
        <v>43</v>
      </c>
      <c r="AS10" t="s">
        <v>44</v>
      </c>
      <c r="AT10" t="s">
        <v>45</v>
      </c>
      <c r="AU10" t="s">
        <v>46</v>
      </c>
      <c r="AV10" t="s">
        <v>47</v>
      </c>
      <c r="AW10" t="s">
        <v>48</v>
      </c>
      <c r="AX10" t="s">
        <v>49</v>
      </c>
      <c r="AY10" t="s">
        <v>50</v>
      </c>
      <c r="AZ10" t="s">
        <v>106</v>
      </c>
      <c r="BA10" t="s">
        <v>51</v>
      </c>
    </row>
    <row r="11" spans="1:53" x14ac:dyDescent="0.35">
      <c r="A11" t="s">
        <v>58</v>
      </c>
      <c r="B11" t="str">
        <f>RTD("rtdtrading.rtdserver",, "EMBR3_B_0", "DAT")</f>
        <v>30/12/1899</v>
      </c>
      <c r="C11" t="str">
        <f>RTD("rtdtrading.rtdserver",, "EMBR3_B_0", "HOR")</f>
        <v>00:00:00</v>
      </c>
      <c r="D11">
        <f>RTD("rtdtrading.rtdserver",, "EMBR3_B_0", "ULT")</f>
        <v>0</v>
      </c>
      <c r="E11">
        <f>RTD("rtdtrading.rtdserver",, "EMBR3_B_0", "ABE")</f>
        <v>0</v>
      </c>
      <c r="F11">
        <f>RTD("rtdtrading.rtdserver",, "EMBR3_B_0", "MAX")</f>
        <v>0</v>
      </c>
      <c r="G11">
        <f>RTD("rtdtrading.rtdserver",, "EMBR3_B_0", "MIN")</f>
        <v>0</v>
      </c>
      <c r="H11">
        <f>RTD("rtdtrading.rtdserver",, "EMBR3_B_0", "FEC")</f>
        <v>0</v>
      </c>
      <c r="I11">
        <f>RTD("rtdtrading.rtdserver",, "EMBR3_B_0", "PEX")</f>
        <v>0</v>
      </c>
      <c r="J11">
        <f>RTD("rtdtrading.rtdserver",, "EMBR3_B_0", "VAR")</f>
        <v>0</v>
      </c>
      <c r="K11">
        <f>RTD("rtdtrading.rtdserver",, "EMBR3_B_0", "VARPTS")</f>
        <v>0</v>
      </c>
      <c r="L11">
        <f>RTD("rtdtrading.rtdserver",, "EMBR3_B_0", "MED")</f>
        <v>0</v>
      </c>
      <c r="M11" t="s">
        <v>59</v>
      </c>
      <c r="N11">
        <f>RTD("rtdtrading.rtdserver",, "EMBR3_B_0", "NEG")</f>
        <v>0</v>
      </c>
      <c r="O11">
        <f>RTD("rtdtrading.rtdserver",, "EMBR3_B_0", "QUL")</f>
        <v>0</v>
      </c>
      <c r="P11">
        <f>RTD("rtdtrading.rtdserver",, "EMBR3_B_0", "QTT")</f>
        <v>0</v>
      </c>
      <c r="Q11">
        <f>RTD("rtdtrading.rtdserver",, "EMBR3_B_0", "VOL")</f>
        <v>0</v>
      </c>
      <c r="R11">
        <f>RTD("rtdtrading.rtdserver",, "EMBR3_B_0", "OCP")</f>
        <v>0</v>
      </c>
      <c r="S11">
        <f>RTD("rtdtrading.rtdserver",, "EMBR3_B_0", "OVD")</f>
        <v>0</v>
      </c>
      <c r="T11">
        <f>RTD("rtdtrading.rtdserver",, "EMBR3_B_0", "VOC")</f>
        <v>0</v>
      </c>
      <c r="U11">
        <f>RTD("rtdtrading.rtdserver",, "EMBR3_B_0", "VOV")</f>
        <v>0</v>
      </c>
      <c r="V11">
        <f>RTD("rtdtrading.rtdserver",, "EMBR3_B_0", "AJU")</f>
        <v>0</v>
      </c>
      <c r="W11">
        <f>RTD("rtdtrading.rtdserver",, "EMBR3_B_0", "AJA")</f>
        <v>0</v>
      </c>
      <c r="X11">
        <f>RTD("rtdtrading.rtdserver",, "EMBR3_B_0", "PRT")</f>
        <v>0</v>
      </c>
      <c r="Y11">
        <f>RTD("rtdtrading.rtdserver",, "EMBR3_B_0", "QTE")</f>
        <v>0</v>
      </c>
      <c r="Z11">
        <f>RTD("rtdtrading.rtdserver",, "EMBR3_B_0", "VPJ")</f>
        <v>0</v>
      </c>
      <c r="AA11">
        <f>RTD("rtdtrading.rtdserver",, "EMBR3_B_0", "SEM")</f>
        <v>0</v>
      </c>
      <c r="AB11">
        <f>RTD("rtdtrading.rtdserver",, "EMBR3_B_0", "MES")</f>
        <v>0</v>
      </c>
      <c r="AC11">
        <f>RTD("rtdtrading.rtdserver",, "EMBR3_B_0", "3M")</f>
        <v>0</v>
      </c>
      <c r="AD11">
        <f>RTD("rtdtrading.rtdserver",, "EMBR3_B_0", "6M")</f>
        <v>0</v>
      </c>
      <c r="AE11">
        <f>RTD("rtdtrading.rtdserver",, "EMBR3_B_0", "12M")</f>
        <v>0</v>
      </c>
      <c r="AF11">
        <f>RTD("rtdtrading.rtdserver",, "EMBR3_B_0", "ANO")</f>
        <v>0</v>
      </c>
      <c r="AG11">
        <f>RTD("rtdtrading.rtdserver",, "EMBR3_B_0", "TRIM")</f>
        <v>0</v>
      </c>
      <c r="AH11">
        <f>RTD("rtdtrading.rtdserver",, "EMBR3_B_0", "SEMES")</f>
        <v>0</v>
      </c>
      <c r="AI11" t="str">
        <f>RTD("rtdtrading.rtdserver",, "EMBR3_B_0", "VEN")</f>
        <v>-</v>
      </c>
      <c r="AJ11" t="str">
        <f>RTD("rtdtrading.rtdserver",, "EMBR3_B_0", "VAL")</f>
        <v>31/12/9999</v>
      </c>
      <c r="AK11">
        <f>RTD("rtdtrading.rtdserver",, "EMBR3_B_0", "CAB")</f>
        <v>0</v>
      </c>
      <c r="AL11" t="str">
        <f>RTD("rtdtrading.rtdserver",, "EMBR3_B_0", "EST")</f>
        <v>NONE</v>
      </c>
      <c r="AM11" t="str">
        <f>RTD("rtdtrading.rtdserver",, "EMBR3_B_0", "BLACK")</f>
        <v>-</v>
      </c>
      <c r="AN11" t="str">
        <f>RTD("rtdtrading.rtdserver",, "EMBR3_B_0", "IMPVT")</f>
        <v>-</v>
      </c>
      <c r="AO11" t="str">
        <f>RTD("rtdtrading.rtdserver",, "EMBR3_B_0", "DELTA")</f>
        <v>-</v>
      </c>
      <c r="AP11" t="str">
        <f>RTD("rtdtrading.rtdserver",, "EMBR3_B_0", "GAMA")</f>
        <v>-</v>
      </c>
      <c r="AQ11" t="str">
        <f>RTD("rtdtrading.rtdserver",, "EMBR3_B_0", "THETA")</f>
        <v>-</v>
      </c>
      <c r="AR11" t="str">
        <f>RTD("rtdtrading.rtdserver",, "EMBR3_B_0", "RHO")</f>
        <v>-</v>
      </c>
      <c r="AS11" t="str">
        <f>RTD("rtdtrading.rtdserver",, "EMBR3_B_0", "VEGA")</f>
        <v>-</v>
      </c>
      <c r="AT11" t="str">
        <f>RTD("rtdtrading.rtdserver",, "EMBR3_B_0", "VIA")</f>
        <v>-</v>
      </c>
      <c r="AU11" t="str">
        <f>RTD("rtdtrading.rtdserver",, "EMBR3_B_0", "VIB")</f>
        <v>-</v>
      </c>
      <c r="AV11" t="str">
        <f>RTD("rtdtrading.rtdserver",, "EMBR3_B_0", "DOBRAR")</f>
        <v>-</v>
      </c>
      <c r="AW11" t="str">
        <f>RTD("rtdtrading.rtdserver",, "EMBR3_B_0", "VIVH")</f>
        <v>-</v>
      </c>
      <c r="AX11" t="str">
        <f>RTD("rtdtrading.rtdserver",, "EMBR3_B_0", "VINT")</f>
        <v>-</v>
      </c>
      <c r="AY11" t="str">
        <f>RTD("rtdtrading.rtdserver",, "EMBR3_B_0", "VEXT")</f>
        <v>-</v>
      </c>
      <c r="AZ11" t="str">
        <f>RTD("rtdtrading.rtdserver",, "EMBR3_B_0", "101_psicotrade")</f>
        <v>0,00 0,00</v>
      </c>
      <c r="BA11" t="str">
        <f>RTD("rtdtrading.rtdserver",, "EMBR3_B_0", "67")</f>
        <v>87,17</v>
      </c>
    </row>
    <row r="12" spans="1:53" x14ac:dyDescent="0.35">
      <c r="A12" t="s">
        <v>60</v>
      </c>
      <c r="B12" t="str">
        <f>RTD("rtdtrading.rtdserver",, "VIVT3_B_0", "DAT")</f>
        <v>13/03/2026</v>
      </c>
      <c r="C12" t="str">
        <f>RTD("rtdtrading.rtdserver",, "VIVT3_B_0", "HOR")</f>
        <v>15:11:36</v>
      </c>
      <c r="D12">
        <f>RTD("rtdtrading.rtdserver",, "VIVT3_B_0", "ULT")</f>
        <v>40.99</v>
      </c>
      <c r="E12">
        <f>RTD("rtdtrading.rtdserver",, "VIVT3_B_0", "ABE")</f>
        <v>41</v>
      </c>
      <c r="F12">
        <f>RTD("rtdtrading.rtdserver",, "VIVT3_B_0", "MAX")</f>
        <v>41.38</v>
      </c>
      <c r="G12">
        <f>RTD("rtdtrading.rtdserver",, "VIVT3_B_0", "MIN")</f>
        <v>40.630000000000003</v>
      </c>
      <c r="H12">
        <f>RTD("rtdtrading.rtdserver",, "VIVT3_B_0", "FEC")</f>
        <v>40.480000000000004</v>
      </c>
      <c r="I12">
        <f>RTD("rtdtrading.rtdserver",, "VIVT3_B_0", "PEX")</f>
        <v>0</v>
      </c>
      <c r="J12">
        <f>RTD("rtdtrading.rtdserver",, "VIVT3_B_0", "VAR")</f>
        <v>1.2598814229248962</v>
      </c>
      <c r="K12">
        <f>RTD("rtdtrading.rtdserver",, "VIVT3_B_0", "VARPTS")</f>
        <v>0.50999999999999801</v>
      </c>
      <c r="L12">
        <f>RTD("rtdtrading.rtdserver",, "VIVT3_B_0", "MED")</f>
        <v>41.016949541284404</v>
      </c>
      <c r="M12" t="s">
        <v>61</v>
      </c>
      <c r="N12">
        <f>RTD("rtdtrading.rtdserver",, "VIVT3_B_0", "NEG")</f>
        <v>10100</v>
      </c>
      <c r="O12">
        <f>RTD("rtdtrading.rtdserver",, "VIVT3_B_0", "QUL")</f>
        <v>100</v>
      </c>
      <c r="P12">
        <f>RTD("rtdtrading.rtdserver",, "VIVT3_B_0", "QTT")</f>
        <v>3400800</v>
      </c>
      <c r="Q12">
        <f>RTD("rtdtrading.rtdserver",, "VIVT3_B_0", "VOL")</f>
        <v>139490442</v>
      </c>
      <c r="R12">
        <f>RTD("rtdtrading.rtdserver",, "VIVT3_B_0", "OCP")</f>
        <v>40.980000000000004</v>
      </c>
      <c r="S12">
        <f>RTD("rtdtrading.rtdserver",, "VIVT3_B_0", "OVD")</f>
        <v>40.99</v>
      </c>
      <c r="T12">
        <f>RTD("rtdtrading.rtdserver",, "VIVT3_B_0", "VOC")</f>
        <v>1500</v>
      </c>
      <c r="U12">
        <f>RTD("rtdtrading.rtdserver",, "VIVT3_B_0", "VOV")</f>
        <v>1600</v>
      </c>
      <c r="V12">
        <f>RTD("rtdtrading.rtdserver",, "VIVT3_B_0", "AJU")</f>
        <v>0</v>
      </c>
      <c r="W12">
        <f>RTD("rtdtrading.rtdserver",, "VIVT3_B_0", "AJA")</f>
        <v>0</v>
      </c>
      <c r="X12">
        <f>RTD("rtdtrading.rtdserver",, "VIVT3_B_0", "PRT")</f>
        <v>0</v>
      </c>
      <c r="Y12">
        <f>RTD("rtdtrading.rtdserver",, "VIVT3_B_0", "QTE")</f>
        <v>0</v>
      </c>
      <c r="Z12">
        <f>RTD("rtdtrading.rtdserver",, "VIVT3_B_0", "VPJ")</f>
        <v>161157121.69448012</v>
      </c>
      <c r="AA12">
        <f>RTD("rtdtrading.rtdserver",, "VIVT3_B_0", "SEM")</f>
        <v>-1.1574632264287363</v>
      </c>
      <c r="AB12">
        <f>RTD("rtdtrading.rtdserver",, "VIVT3_B_0", "MES")</f>
        <v>-5.0717924965261645</v>
      </c>
      <c r="AC12">
        <f>RTD("rtdtrading.rtdserver",, "VIVT3_B_0", "3M")</f>
        <v>23.769551301407088</v>
      </c>
      <c r="AD12">
        <f>RTD("rtdtrading.rtdserver",, "VIVT3_B_0", "6M")</f>
        <v>24.141774206737391</v>
      </c>
      <c r="AE12">
        <f>RTD("rtdtrading.rtdserver",, "VIVT3_B_0", "12M")</f>
        <v>71.284824223075603</v>
      </c>
      <c r="AF12">
        <f>RTD("rtdtrading.rtdserver",, "VIVT3_B_0", "ANO")</f>
        <v>24.092165452184105</v>
      </c>
      <c r="AG12">
        <f>RTD("rtdtrading.rtdserver",, "VIVT3_B_0", "TRIM")</f>
        <v>24.092165452184105</v>
      </c>
      <c r="AH12">
        <f>RTD("rtdtrading.rtdserver",, "VIVT3_B_0", "SEMES")</f>
        <v>24.092165452184105</v>
      </c>
      <c r="AI12" t="str">
        <f>RTD("rtdtrading.rtdserver",, "VIVT3_B_0", "VEN")</f>
        <v>-</v>
      </c>
      <c r="AJ12" t="str">
        <f>RTD("rtdtrading.rtdserver",, "VIVT3_B_0", "VAL")</f>
        <v>31/12/9999</v>
      </c>
      <c r="AK12">
        <f>RTD("rtdtrading.rtdserver",, "VIVT3_B_0", "CAB")</f>
        <v>0</v>
      </c>
      <c r="AL12" t="str">
        <f>RTD("rtdtrading.rtdserver",, "VIVT3_B_0", "EST")</f>
        <v>Aberto</v>
      </c>
      <c r="AM12" t="str">
        <f>RTD("rtdtrading.rtdserver",, "VIVT3_B_0", "BLACK")</f>
        <v>-</v>
      </c>
      <c r="AN12" t="str">
        <f>RTD("rtdtrading.rtdserver",, "VIVT3_B_0", "IMPVT")</f>
        <v>-</v>
      </c>
      <c r="AO12" t="str">
        <f>RTD("rtdtrading.rtdserver",, "VIVT3_B_0", "DELTA")</f>
        <v>-</v>
      </c>
      <c r="AP12" t="str">
        <f>RTD("rtdtrading.rtdserver",, "VIVT3_B_0", "GAMA")</f>
        <v>-</v>
      </c>
      <c r="AQ12" t="str">
        <f>RTD("rtdtrading.rtdserver",, "VIVT3_B_0", "THETA")</f>
        <v>-</v>
      </c>
      <c r="AR12" t="str">
        <f>RTD("rtdtrading.rtdserver",, "VIVT3_B_0", "RHO")</f>
        <v>-</v>
      </c>
      <c r="AS12" t="str">
        <f>RTD("rtdtrading.rtdserver",, "VIVT3_B_0", "VEGA")</f>
        <v>-</v>
      </c>
      <c r="AT12" t="str">
        <f>RTD("rtdtrading.rtdserver",, "VIVT3_B_0", "VIA")</f>
        <v>-</v>
      </c>
      <c r="AU12" t="str">
        <f>RTD("rtdtrading.rtdserver",, "VIVT3_B_0", "VIB")</f>
        <v>-</v>
      </c>
      <c r="AV12" t="str">
        <f>RTD("rtdtrading.rtdserver",, "VIVT3_B_0", "DOBRAR")</f>
        <v>-</v>
      </c>
      <c r="AW12" t="str">
        <f>RTD("rtdtrading.rtdserver",, "VIVT3_B_0", "VIVH")</f>
        <v>-</v>
      </c>
      <c r="AX12" t="str">
        <f>RTD("rtdtrading.rtdserver",, "VIVT3_B_0", "VINT")</f>
        <v>-</v>
      </c>
      <c r="AY12" t="str">
        <f>RTD("rtdtrading.rtdserver",, "VIVT3_B_0", "VEXT")</f>
        <v>-</v>
      </c>
      <c r="AZ12" t="str">
        <f>RTD("rtdtrading.rtdserver",, "VIVT3_B_0", "101_psicotrade")</f>
        <v>0,00 0,00</v>
      </c>
      <c r="BA12" t="str">
        <f>RTD("rtdtrading.rtdserver",, "VIVT3_B_0", "67")</f>
        <v>41,02</v>
      </c>
    </row>
    <row r="13" spans="1:53" x14ac:dyDescent="0.35">
      <c r="A13" t="s">
        <v>107</v>
      </c>
      <c r="B13" t="str">
        <f>RTD("rtdtrading.rtdserver",, "DOLPT_E_0", "DAT")</f>
        <v>13/03/2026</v>
      </c>
      <c r="C13" t="str">
        <f>RTD("rtdtrading.rtdserver",, "DOLPT_E_0", "HOR")</f>
        <v>00:00:00</v>
      </c>
      <c r="D13">
        <f>RTD("rtdtrading.rtdserver",, "DOLPT_E_0", "ULT")</f>
        <v>5.2534999999999998</v>
      </c>
      <c r="E13">
        <f>RTD("rtdtrading.rtdserver",, "DOLPT_E_0", "ABE")</f>
        <v>5.2534999999999998</v>
      </c>
      <c r="F13">
        <f>RTD("rtdtrading.rtdserver",, "DOLPT_E_0", "MAX")</f>
        <v>5.2534999999999998</v>
      </c>
      <c r="G13">
        <f>RTD("rtdtrading.rtdserver",, "DOLPT_E_0", "MIN")</f>
        <v>5.2534999999999998</v>
      </c>
      <c r="H13">
        <f>RTD("rtdtrading.rtdserver",, "DOLPT_E_0", "FEC")</f>
        <v>5.2044999999999995</v>
      </c>
      <c r="I13">
        <f>RTD("rtdtrading.rtdserver",, "DOLPT_E_0", "PEX")</f>
        <v>0</v>
      </c>
      <c r="J13">
        <f>RTD("rtdtrading.rtdserver",, "DOLPT_E_0", "VAR")</f>
        <v>0.94149293880296625</v>
      </c>
      <c r="K13">
        <f>RTD("rtdtrading.rtdserver",, "DOLPT_E_0", "VARPTS")</f>
        <v>4.9000000000000377E-2</v>
      </c>
      <c r="L13">
        <f>RTD("rtdtrading.rtdserver",, "DOLPT_E_0", "MED")</f>
        <v>5.2534999999999998</v>
      </c>
      <c r="M13" t="s">
        <v>108</v>
      </c>
      <c r="N13">
        <f>RTD("rtdtrading.rtdserver",, "DOLPT_E_0", "NEG")</f>
        <v>0</v>
      </c>
      <c r="O13">
        <f>RTD("rtdtrading.rtdserver",, "DOLPT_E_0", "QUL")</f>
        <v>0</v>
      </c>
      <c r="P13">
        <f>RTD("rtdtrading.rtdserver",, "DOLPT_E_0", "QTT")</f>
        <v>0</v>
      </c>
      <c r="Q13">
        <f>RTD("rtdtrading.rtdserver",, "DOLPT_E_0", "VOL")</f>
        <v>0</v>
      </c>
      <c r="R13">
        <f>RTD("rtdtrading.rtdserver",, "DOLPT_E_0", "OCP")</f>
        <v>0</v>
      </c>
      <c r="S13">
        <f>RTD("rtdtrading.rtdserver",, "DOLPT_E_0", "OVD")</f>
        <v>0</v>
      </c>
      <c r="T13">
        <f>RTD("rtdtrading.rtdserver",, "DOLPT_E_0", "VOC")</f>
        <v>0</v>
      </c>
      <c r="U13">
        <f>RTD("rtdtrading.rtdserver",, "DOLPT_E_0", "VOV")</f>
        <v>0</v>
      </c>
      <c r="V13">
        <f>RTD("rtdtrading.rtdserver",, "DOLPT_E_0", "AJU")</f>
        <v>0</v>
      </c>
      <c r="W13">
        <f>RTD("rtdtrading.rtdserver",, "DOLPT_E_0", "AJA")</f>
        <v>0</v>
      </c>
      <c r="X13">
        <f>RTD("rtdtrading.rtdserver",, "DOLPT_E_0", "PRT")</f>
        <v>0</v>
      </c>
      <c r="Y13">
        <f>RTD("rtdtrading.rtdserver",, "DOLPT_E_0", "QTE")</f>
        <v>0</v>
      </c>
      <c r="Z13">
        <f>RTD("rtdtrading.rtdserver",, "DOLPT_E_0", "VPJ")</f>
        <v>0</v>
      </c>
      <c r="AA13">
        <f>RTD("rtdtrading.rtdserver",, "DOLPT_E_0", "SEM")</f>
        <v>-0.63738840974428101</v>
      </c>
      <c r="AB13">
        <f>RTD("rtdtrading.rtdserver",, "DOLPT_E_0", "MES")</f>
        <v>2.0315018741867292</v>
      </c>
      <c r="AC13">
        <f>RTD("rtdtrading.rtdserver",, "DOLPT_E_0", "3M")</f>
        <v>-3.1273625785989556</v>
      </c>
      <c r="AD13">
        <f>RTD("rtdtrading.rtdserver",, "DOLPT_E_0", "6M")</f>
        <v>-2.4455916214810873</v>
      </c>
      <c r="AE13">
        <f>RTD("rtdtrading.rtdserver",, "DOLPT_E_0", "12M")</f>
        <v>-9.8297346469396896</v>
      </c>
      <c r="AF13">
        <f>RTD("rtdtrading.rtdserver",, "DOLPT_E_0", "ANO")</f>
        <v>-4.5130684503253402</v>
      </c>
      <c r="AG13">
        <f>RTD("rtdtrading.rtdserver",, "DOLPT_E_0", "TRIM")</f>
        <v>-4.5130684503253402</v>
      </c>
      <c r="AH13">
        <f>RTD("rtdtrading.rtdserver",, "DOLPT_E_0", "SEMES")</f>
        <v>-4.5130684503253402</v>
      </c>
      <c r="AI13" t="str">
        <f>RTD("rtdtrading.rtdserver",, "DOLPT_E_0", "VEN")</f>
        <v>-</v>
      </c>
      <c r="AJ13" t="str">
        <f>RTD("rtdtrading.rtdserver",, "DOLPT_E_0", "VAL")</f>
        <v>30/12/1899</v>
      </c>
      <c r="AK13">
        <f>RTD("rtdtrading.rtdserver",, "DOLPT_E_0", "CAB")</f>
        <v>0</v>
      </c>
      <c r="AL13" t="str">
        <f>RTD("rtdtrading.rtdserver",, "DOLPT_E_0", "EST")</f>
        <v>Fechado</v>
      </c>
      <c r="AM13" t="str">
        <f>RTD("rtdtrading.rtdserver",, "DOLPT_E_0", "BLACK")</f>
        <v>-</v>
      </c>
      <c r="AN13" t="str">
        <f>RTD("rtdtrading.rtdserver",, "DOLPT_E_0", "IMPVT")</f>
        <v>-</v>
      </c>
      <c r="AO13" t="str">
        <f>RTD("rtdtrading.rtdserver",, "DOLPT_E_0", "DELTA")</f>
        <v>-</v>
      </c>
      <c r="AP13" t="str">
        <f>RTD("rtdtrading.rtdserver",, "DOLPT_E_0", "GAMA")</f>
        <v>-</v>
      </c>
      <c r="AQ13" t="str">
        <f>RTD("rtdtrading.rtdserver",, "DOLPT_E_0", "THETA")</f>
        <v>-</v>
      </c>
      <c r="AR13" t="str">
        <f>RTD("rtdtrading.rtdserver",, "DOLPT_E_0", "RHO")</f>
        <v>-</v>
      </c>
      <c r="AS13" t="str">
        <f>RTD("rtdtrading.rtdserver",, "DOLPT_E_0", "VEGA")</f>
        <v>-</v>
      </c>
      <c r="AT13" t="str">
        <f>RTD("rtdtrading.rtdserver",, "DOLPT_E_0", "VIA")</f>
        <v>-</v>
      </c>
      <c r="AU13" t="str">
        <f>RTD("rtdtrading.rtdserver",, "DOLPT_E_0", "VIB")</f>
        <v>-</v>
      </c>
      <c r="AV13" t="str">
        <f>RTD("rtdtrading.rtdserver",, "DOLPT_E_0", "DOBRAR")</f>
        <v>-</v>
      </c>
      <c r="AW13" t="str">
        <f>RTD("rtdtrading.rtdserver",, "DOLPT_E_0", "VIVH")</f>
        <v>-</v>
      </c>
      <c r="AX13" t="str">
        <f>RTD("rtdtrading.rtdserver",, "DOLPT_E_0", "VINT")</f>
        <v>-</v>
      </c>
      <c r="AY13" t="str">
        <f>RTD("rtdtrading.rtdserver",, "DOLPT_E_0", "VEXT")</f>
        <v>-</v>
      </c>
      <c r="AZ13" t="str">
        <f>RTD("rtdtrading.rtdserver",, "DOLPT_E_0", "101_psicotrade")</f>
        <v>0,00 0,00</v>
      </c>
      <c r="BA13" t="str">
        <f>RTD("rtdtrading.rtdserver",, "DOLPT_E_0", "67")</f>
        <v>5,2535</v>
      </c>
    </row>
    <row r="14" spans="1:53" x14ac:dyDescent="0.35">
      <c r="A14" t="s">
        <v>62</v>
      </c>
      <c r="B14" t="str">
        <f>RTD("rtdtrading.rtdserver",, "ITSA4_B_0", "DAT")</f>
        <v>13/03/2026</v>
      </c>
      <c r="C14" t="str">
        <f>RTD("rtdtrading.rtdserver",, "ITSA4_B_0", "HOR")</f>
        <v>15:11:37</v>
      </c>
      <c r="D14">
        <f>RTD("rtdtrading.rtdserver",, "ITSA4_B_0", "ULT")</f>
        <v>13.2</v>
      </c>
      <c r="E14">
        <f>RTD("rtdtrading.rtdserver",, "ITSA4_B_0", "ABE")</f>
        <v>13.33</v>
      </c>
      <c r="F14">
        <f>RTD("rtdtrading.rtdserver",, "ITSA4_B_0", "MAX")</f>
        <v>13.54</v>
      </c>
      <c r="G14">
        <f>RTD("rtdtrading.rtdserver",, "ITSA4_B_0", "MIN")</f>
        <v>13.13</v>
      </c>
      <c r="H14">
        <f>RTD("rtdtrading.rtdserver",, "ITSA4_B_0", "FEC")</f>
        <v>13.33</v>
      </c>
      <c r="I14">
        <f>RTD("rtdtrading.rtdserver",, "ITSA4_B_0", "PEX")</f>
        <v>0</v>
      </c>
      <c r="J14">
        <f>RTD("rtdtrading.rtdserver",, "ITSA4_B_0", "VAR")</f>
        <v>-0.97524381095274393</v>
      </c>
      <c r="K14">
        <f>RTD("rtdtrading.rtdserver",, "ITSA4_B_0", "VARPTS")</f>
        <v>-0.13000000000000078</v>
      </c>
      <c r="L14">
        <f>RTD("rtdtrading.rtdserver",, "ITSA4_B_0", "MED")</f>
        <v>13.29112173240223</v>
      </c>
      <c r="M14" t="s">
        <v>113</v>
      </c>
      <c r="N14">
        <f>RTD("rtdtrading.rtdserver",, "ITSA4_B_0", "NEG")</f>
        <v>14199</v>
      </c>
      <c r="O14">
        <f>RTD("rtdtrading.rtdserver",, "ITSA4_B_0", "QUL")</f>
        <v>100</v>
      </c>
      <c r="P14">
        <f>RTD("rtdtrading.rtdserver",, "ITSA4_B_0", "QTT")</f>
        <v>10210100</v>
      </c>
      <c r="Q14">
        <f>RTD("rtdtrading.rtdserver",, "ITSA4_B_0", "VOL")</f>
        <v>135703682</v>
      </c>
      <c r="R14">
        <f>RTD("rtdtrading.rtdserver",, "ITSA4_B_0", "OCP")</f>
        <v>13.19</v>
      </c>
      <c r="S14">
        <f>RTD("rtdtrading.rtdserver",, "ITSA4_B_0", "OVD")</f>
        <v>13.200000000000001</v>
      </c>
      <c r="T14">
        <f>RTD("rtdtrading.rtdserver",, "ITSA4_B_0", "VOC")</f>
        <v>69100</v>
      </c>
      <c r="U14">
        <f>RTD("rtdtrading.rtdserver",, "ITSA4_B_0", "VOV")</f>
        <v>50400</v>
      </c>
      <c r="V14">
        <f>RTD("rtdtrading.rtdserver",, "ITSA4_B_0", "AJU")</f>
        <v>0</v>
      </c>
      <c r="W14">
        <f>RTD("rtdtrading.rtdserver",, "ITSA4_B_0", "AJA")</f>
        <v>0</v>
      </c>
      <c r="X14">
        <f>RTD("rtdtrading.rtdserver",, "ITSA4_B_0", "PRT")</f>
        <v>0</v>
      </c>
      <c r="Y14">
        <f>RTD("rtdtrading.rtdserver",, "ITSA4_B_0", "QTE")</f>
        <v>0</v>
      </c>
      <c r="Z14">
        <f>RTD("rtdtrading.rtdserver",, "ITSA4_B_0", "VPJ")</f>
        <v>156773788.90731132</v>
      </c>
      <c r="AA14">
        <f>RTD("rtdtrading.rtdserver",, "ITSA4_B_0", "SEM")</f>
        <v>-0.90090090090090835</v>
      </c>
      <c r="AB14">
        <f>RTD("rtdtrading.rtdserver",, "ITSA4_B_0", "MES")</f>
        <v>-7.3645206113941777</v>
      </c>
      <c r="AC14">
        <f>RTD("rtdtrading.rtdserver",, "ITSA4_B_0", "3M")</f>
        <v>15.243583027763213</v>
      </c>
      <c r="AD14">
        <f>RTD("rtdtrading.rtdserver",, "ITSA4_B_0", "6M")</f>
        <v>30.104379195126995</v>
      </c>
      <c r="AE14">
        <f>RTD("rtdtrading.rtdserver",, "ITSA4_B_0", "12M")</f>
        <v>66.947019616274787</v>
      </c>
      <c r="AF14">
        <f>RTD("rtdtrading.rtdserver",, "ITSA4_B_0", "ANO")</f>
        <v>13.177457108315965</v>
      </c>
      <c r="AG14">
        <f>RTD("rtdtrading.rtdserver",, "ITSA4_B_0", "TRIM")</f>
        <v>13.177457108315965</v>
      </c>
      <c r="AH14">
        <f>RTD("rtdtrading.rtdserver",, "ITSA4_B_0", "SEMES")</f>
        <v>13.177457108315965</v>
      </c>
      <c r="AI14" t="str">
        <f>RTD("rtdtrading.rtdserver",, "ITSA4_B_0", "VEN")</f>
        <v>-</v>
      </c>
      <c r="AJ14" t="str">
        <f>RTD("rtdtrading.rtdserver",, "ITSA4_B_0", "VAL")</f>
        <v>31/12/9999</v>
      </c>
      <c r="AK14">
        <f>RTD("rtdtrading.rtdserver",, "ITSA4_B_0", "CAB")</f>
        <v>0</v>
      </c>
      <c r="AL14" t="str">
        <f>RTD("rtdtrading.rtdserver",, "ITSA4_B_0", "EST")</f>
        <v>Aberto</v>
      </c>
      <c r="AM14" t="str">
        <f>RTD("rtdtrading.rtdserver",, "ITSA4_B_0", "BLACK")</f>
        <v>-</v>
      </c>
      <c r="AN14" t="str">
        <f>RTD("rtdtrading.rtdserver",, "ITSA4_B_0", "IMPVT")</f>
        <v>-</v>
      </c>
      <c r="AO14" t="str">
        <f>RTD("rtdtrading.rtdserver",, "ITSA4_B_0", "DELTA")</f>
        <v>-</v>
      </c>
      <c r="AP14" t="str">
        <f>RTD("rtdtrading.rtdserver",, "ITSA4_B_0", "GAMA")</f>
        <v>-</v>
      </c>
      <c r="AQ14" t="str">
        <f>RTD("rtdtrading.rtdserver",, "ITSA4_B_0", "THETA")</f>
        <v>-</v>
      </c>
      <c r="AR14" t="str">
        <f>RTD("rtdtrading.rtdserver",, "ITSA4_B_0", "RHO")</f>
        <v>-</v>
      </c>
      <c r="AS14" t="str">
        <f>RTD("rtdtrading.rtdserver",, "ITSA4_B_0", "VEGA")</f>
        <v>-</v>
      </c>
      <c r="AT14" t="str">
        <f>RTD("rtdtrading.rtdserver",, "ITSA4_B_0", "VIA")</f>
        <v>-</v>
      </c>
      <c r="AU14" t="str">
        <f>RTD("rtdtrading.rtdserver",, "ITSA4_B_0", "VIB")</f>
        <v>-</v>
      </c>
      <c r="AV14" t="str">
        <f>RTD("rtdtrading.rtdserver",, "ITSA4_B_0", "DOBRAR")</f>
        <v>-</v>
      </c>
      <c r="AW14" t="str">
        <f>RTD("rtdtrading.rtdserver",, "ITSA4_B_0", "VIVH")</f>
        <v>-</v>
      </c>
      <c r="AX14" t="str">
        <f>RTD("rtdtrading.rtdserver",, "ITSA4_B_0", "VINT")</f>
        <v>-</v>
      </c>
      <c r="AY14" t="str">
        <f>RTD("rtdtrading.rtdserver",, "ITSA4_B_0", "VEXT")</f>
        <v>-</v>
      </c>
      <c r="AZ14" t="str">
        <f>RTD("rtdtrading.rtdserver",, "ITSA4_B_0", "101_psicotrade")</f>
        <v>0,00 0,00</v>
      </c>
      <c r="BA14" t="str">
        <f>RTD("rtdtrading.rtdserver",, "ITSA4_B_0", "67")</f>
        <v>13,29</v>
      </c>
    </row>
    <row r="15" spans="1:53" x14ac:dyDescent="0.35">
      <c r="A15" t="s">
        <v>63</v>
      </c>
      <c r="B15" t="str">
        <f>RTD("rtdtrading.rtdserver",, "CYRE3_B_0", "DAT")</f>
        <v>13/03/2026</v>
      </c>
      <c r="C15" t="str">
        <f>RTD("rtdtrading.rtdserver",, "CYRE3_B_0", "HOR")</f>
        <v>15:11:39</v>
      </c>
      <c r="D15">
        <f>RTD("rtdtrading.rtdserver",, "CYRE3_B_0", "ULT")</f>
        <v>26.7</v>
      </c>
      <c r="E15">
        <f>RTD("rtdtrading.rtdserver",, "CYRE3_B_0", "ABE")</f>
        <v>27.59</v>
      </c>
      <c r="F15">
        <f>RTD("rtdtrading.rtdserver",, "CYRE3_B_0", "MAX")</f>
        <v>27.92</v>
      </c>
      <c r="G15">
        <f>RTD("rtdtrading.rtdserver",, "CYRE3_B_0", "MIN")</f>
        <v>26.56</v>
      </c>
      <c r="H15">
        <f>RTD("rtdtrading.rtdserver",, "CYRE3_B_0", "FEC")</f>
        <v>27.52</v>
      </c>
      <c r="I15">
        <f>RTD("rtdtrading.rtdserver",, "CYRE3_B_0", "PEX")</f>
        <v>0</v>
      </c>
      <c r="J15">
        <f>RTD("rtdtrading.rtdserver",, "CYRE3_B_0", "VAR")</f>
        <v>-2.9796511627906987</v>
      </c>
      <c r="K15">
        <f>RTD("rtdtrading.rtdserver",, "CYRE3_B_0", "VARPTS")</f>
        <v>-0.82000000000000028</v>
      </c>
      <c r="L15">
        <f>RTD("rtdtrading.rtdserver",, "CYRE3_B_0", "MED")</f>
        <v>27.167574004942427</v>
      </c>
      <c r="M15" t="s">
        <v>64</v>
      </c>
      <c r="N15">
        <f>RTD("rtdtrading.rtdserver",, "CYRE3_B_0", "NEG")</f>
        <v>9413</v>
      </c>
      <c r="O15">
        <f>RTD("rtdtrading.rtdserver",, "CYRE3_B_0", "QUL")</f>
        <v>100</v>
      </c>
      <c r="P15">
        <f>RTD("rtdtrading.rtdserver",, "CYRE3_B_0", "QTT")</f>
        <v>1901900</v>
      </c>
      <c r="Q15">
        <f>RTD("rtdtrading.rtdserver",, "CYRE3_B_0", "VOL")</f>
        <v>51670009</v>
      </c>
      <c r="R15">
        <f>RTD("rtdtrading.rtdserver",, "CYRE3_B_0", "OCP")</f>
        <v>26.7</v>
      </c>
      <c r="S15">
        <f>RTD("rtdtrading.rtdserver",, "CYRE3_B_0", "OVD")</f>
        <v>26.72</v>
      </c>
      <c r="T15">
        <f>RTD("rtdtrading.rtdserver",, "CYRE3_B_0", "VOC")</f>
        <v>1600</v>
      </c>
      <c r="U15">
        <f>RTD("rtdtrading.rtdserver",, "CYRE3_B_0", "VOV")</f>
        <v>2100</v>
      </c>
      <c r="V15">
        <f>RTD("rtdtrading.rtdserver",, "CYRE3_B_0", "AJU")</f>
        <v>0</v>
      </c>
      <c r="W15">
        <f>RTD("rtdtrading.rtdserver",, "CYRE3_B_0", "AJA")</f>
        <v>0</v>
      </c>
      <c r="X15">
        <f>RTD("rtdtrading.rtdserver",, "CYRE3_B_0", "PRT")</f>
        <v>0</v>
      </c>
      <c r="Y15">
        <f>RTD("rtdtrading.rtdserver",, "CYRE3_B_0", "QTE")</f>
        <v>0</v>
      </c>
      <c r="Z15">
        <f>RTD("rtdtrading.rtdserver",, "CYRE3_B_0", "VPJ")</f>
        <v>59686196.823359542</v>
      </c>
      <c r="AA15">
        <f>RTD("rtdtrading.rtdserver",, "CYRE3_B_0", "SEM")</f>
        <v>-4.6769011067475983</v>
      </c>
      <c r="AB15">
        <f>RTD("rtdtrading.rtdserver",, "CYRE3_B_0", "MES")</f>
        <v>-13.05763594920222</v>
      </c>
      <c r="AC15">
        <f>RTD("rtdtrading.rtdserver",, "CYRE3_B_0", "3M")</f>
        <v>-3.312366239720161</v>
      </c>
      <c r="AD15">
        <f>RTD("rtdtrading.rtdserver",, "CYRE3_B_0", "6M")</f>
        <v>12.793389546967665</v>
      </c>
      <c r="AE15">
        <f>RTD("rtdtrading.rtdserver",, "CYRE3_B_0", "12M")</f>
        <v>61.658482832111297</v>
      </c>
      <c r="AF15">
        <f>RTD("rtdtrading.rtdserver",, "CYRE3_B_0", "ANO")</f>
        <v>7.2310688969658008</v>
      </c>
      <c r="AG15">
        <f>RTD("rtdtrading.rtdserver",, "CYRE3_B_0", "TRIM")</f>
        <v>7.2310688969658008</v>
      </c>
      <c r="AH15">
        <f>RTD("rtdtrading.rtdserver",, "CYRE3_B_0", "SEMES")</f>
        <v>7.2310688969658008</v>
      </c>
      <c r="AI15" t="str">
        <f>RTD("rtdtrading.rtdserver",, "CYRE3_B_0", "VEN")</f>
        <v>-</v>
      </c>
      <c r="AJ15" t="str">
        <f>RTD("rtdtrading.rtdserver",, "CYRE3_B_0", "VAL")</f>
        <v>31/12/9999</v>
      </c>
      <c r="AK15">
        <f>RTD("rtdtrading.rtdserver",, "CYRE3_B_0", "CAB")</f>
        <v>0</v>
      </c>
      <c r="AL15" t="str">
        <f>RTD("rtdtrading.rtdserver",, "CYRE3_B_0", "EST")</f>
        <v>Aberto</v>
      </c>
      <c r="AM15" t="str">
        <f>RTD("rtdtrading.rtdserver",, "CYRE3_B_0", "BLACK")</f>
        <v>-</v>
      </c>
      <c r="AN15" t="str">
        <f>RTD("rtdtrading.rtdserver",, "CYRE3_B_0", "IMPVT")</f>
        <v>-</v>
      </c>
      <c r="AO15" t="str">
        <f>RTD("rtdtrading.rtdserver",, "CYRE3_B_0", "DELTA")</f>
        <v>-</v>
      </c>
      <c r="AP15" t="str">
        <f>RTD("rtdtrading.rtdserver",, "CYRE3_B_0", "GAMA")</f>
        <v>-</v>
      </c>
      <c r="AQ15" t="str">
        <f>RTD("rtdtrading.rtdserver",, "CYRE3_B_0", "THETA")</f>
        <v>-</v>
      </c>
      <c r="AR15" t="str">
        <f>RTD("rtdtrading.rtdserver",, "CYRE3_B_0", "RHO")</f>
        <v>-</v>
      </c>
      <c r="AS15" t="str">
        <f>RTD("rtdtrading.rtdserver",, "CYRE3_B_0", "VEGA")</f>
        <v>-</v>
      </c>
      <c r="AT15" t="str">
        <f>RTD("rtdtrading.rtdserver",, "CYRE3_B_0", "VIA")</f>
        <v>-</v>
      </c>
      <c r="AU15" t="str">
        <f>RTD("rtdtrading.rtdserver",, "CYRE3_B_0", "VIB")</f>
        <v>-</v>
      </c>
      <c r="AV15" t="str">
        <f>RTD("rtdtrading.rtdserver",, "CYRE3_B_0", "DOBRAR")</f>
        <v>-</v>
      </c>
      <c r="AW15" t="str">
        <f>RTD("rtdtrading.rtdserver",, "CYRE3_B_0", "VIVH")</f>
        <v>-</v>
      </c>
      <c r="AX15" t="str">
        <f>RTD("rtdtrading.rtdserver",, "CYRE3_B_0", "VINT")</f>
        <v>-</v>
      </c>
      <c r="AY15" t="str">
        <f>RTD("rtdtrading.rtdserver",, "CYRE3_B_0", "VEXT")</f>
        <v>-</v>
      </c>
      <c r="AZ15" t="str">
        <f>RTD("rtdtrading.rtdserver",, "CYRE3_B_0", "101_psicotrade")</f>
        <v>0,00 0,00</v>
      </c>
      <c r="BA15" t="str">
        <f>RTD("rtdtrading.rtdserver",, "CYRE3_B_0", "67")</f>
        <v>27,17</v>
      </c>
    </row>
    <row r="16" spans="1:53" x14ac:dyDescent="0.35">
      <c r="A16" t="s">
        <v>65</v>
      </c>
      <c r="B16" t="str">
        <f>RTD("rtdtrading.rtdserver",, "CSNA3_B_0", "DAT")</f>
        <v>13/03/2026</v>
      </c>
      <c r="C16" t="str">
        <f>RTD("rtdtrading.rtdserver",, "CSNA3_B_0", "HOR")</f>
        <v>15:11:39</v>
      </c>
      <c r="D16">
        <f>RTD("rtdtrading.rtdserver",, "CSNA3_B_0", "ULT")</f>
        <v>5.71</v>
      </c>
      <c r="E16">
        <f>RTD("rtdtrading.rtdserver",, "CSNA3_B_0", "ABE")</f>
        <v>6.16</v>
      </c>
      <c r="F16">
        <f>RTD("rtdtrading.rtdserver",, "CSNA3_B_0", "MAX")</f>
        <v>6.18</v>
      </c>
      <c r="G16">
        <f>RTD("rtdtrading.rtdserver",, "CSNA3_B_0", "MIN")</f>
        <v>5.66</v>
      </c>
      <c r="H16">
        <f>RTD("rtdtrading.rtdserver",, "CSNA3_B_0", "FEC")</f>
        <v>6.1000000000000005</v>
      </c>
      <c r="I16">
        <f>RTD("rtdtrading.rtdserver",, "CSNA3_B_0", "PEX")</f>
        <v>0</v>
      </c>
      <c r="J16">
        <f>RTD("rtdtrading.rtdserver",, "CSNA3_B_0", "VAR")</f>
        <v>-6.393442622950829</v>
      </c>
      <c r="K16">
        <f>RTD("rtdtrading.rtdserver",, "CSNA3_B_0", "VARPTS")</f>
        <v>-0.39000000000000057</v>
      </c>
      <c r="L16">
        <f>RTD("rtdtrading.rtdserver",, "CSNA3_B_0", "MED")</f>
        <v>5.859807751208491</v>
      </c>
      <c r="M16" t="s">
        <v>66</v>
      </c>
      <c r="N16">
        <f>RTD("rtdtrading.rtdserver",, "CSNA3_B_0", "NEG")</f>
        <v>20021</v>
      </c>
      <c r="O16">
        <f>RTD("rtdtrading.rtdserver",, "CSNA3_B_0", "QUL")</f>
        <v>200</v>
      </c>
      <c r="P16">
        <f>RTD("rtdtrading.rtdserver",, "CSNA3_B_0", "QTT")</f>
        <v>22528100</v>
      </c>
      <c r="Q16">
        <f>RTD("rtdtrading.rtdserver",, "CSNA3_B_0", "VOL")</f>
        <v>132010335</v>
      </c>
      <c r="R16">
        <f>RTD("rtdtrading.rtdserver",, "CSNA3_B_0", "OCP")</f>
        <v>5.71</v>
      </c>
      <c r="S16">
        <f>RTD("rtdtrading.rtdserver",, "CSNA3_B_0", "OVD")</f>
        <v>5.72</v>
      </c>
      <c r="T16">
        <f>RTD("rtdtrading.rtdserver",, "CSNA3_B_0", "VOC")</f>
        <v>23900</v>
      </c>
      <c r="U16">
        <f>RTD("rtdtrading.rtdserver",, "CSNA3_B_0", "VOV")</f>
        <v>58900</v>
      </c>
      <c r="V16">
        <f>RTD("rtdtrading.rtdserver",, "CSNA3_B_0", "AJU")</f>
        <v>0</v>
      </c>
      <c r="W16">
        <f>RTD("rtdtrading.rtdserver",, "CSNA3_B_0", "AJA")</f>
        <v>0</v>
      </c>
      <c r="X16">
        <f>RTD("rtdtrading.rtdserver",, "CSNA3_B_0", "PRT")</f>
        <v>0</v>
      </c>
      <c r="Y16">
        <f>RTD("rtdtrading.rtdserver",, "CSNA3_B_0", "QTE")</f>
        <v>0</v>
      </c>
      <c r="Z16">
        <f>RTD("rtdtrading.rtdserver",, "CSNA3_B_0", "VPJ")</f>
        <v>152490680.57115355</v>
      </c>
      <c r="AA16">
        <f>RTD("rtdtrading.rtdserver",, "CSNA3_B_0", "SEM")</f>
        <v>-20.584144645340753</v>
      </c>
      <c r="AB16">
        <f>RTD("rtdtrading.rtdserver",, "CSNA3_B_0", "MES")</f>
        <v>-33.758700696055691</v>
      </c>
      <c r="AC16">
        <f>RTD("rtdtrading.rtdserver",, "CSNA3_B_0", "3M")</f>
        <v>-41.555783009211886</v>
      </c>
      <c r="AD16">
        <f>RTD("rtdtrading.rtdserver",, "CSNA3_B_0", "6M")</f>
        <v>-26.98209718670077</v>
      </c>
      <c r="AE16">
        <f>RTD("rtdtrading.rtdserver",, "CSNA3_B_0", "12M")</f>
        <v>-32.585596221959861</v>
      </c>
      <c r="AF16">
        <f>RTD("rtdtrading.rtdserver",, "CSNA3_B_0", "ANO")</f>
        <v>-36.129753914988818</v>
      </c>
      <c r="AG16">
        <f>RTD("rtdtrading.rtdserver",, "CSNA3_B_0", "TRIM")</f>
        <v>-36.129753914988818</v>
      </c>
      <c r="AH16">
        <f>RTD("rtdtrading.rtdserver",, "CSNA3_B_0", "SEMES")</f>
        <v>-36.129753914988818</v>
      </c>
      <c r="AI16" t="str">
        <f>RTD("rtdtrading.rtdserver",, "CSNA3_B_0", "VEN")</f>
        <v>-</v>
      </c>
      <c r="AJ16" t="str">
        <f>RTD("rtdtrading.rtdserver",, "CSNA3_B_0", "VAL")</f>
        <v>31/12/9999</v>
      </c>
      <c r="AK16">
        <f>RTD("rtdtrading.rtdserver",, "CSNA3_B_0", "CAB")</f>
        <v>0</v>
      </c>
      <c r="AL16" t="str">
        <f>RTD("rtdtrading.rtdserver",, "CSNA3_B_0", "EST")</f>
        <v>Aberto</v>
      </c>
      <c r="AM16" t="str">
        <f>RTD("rtdtrading.rtdserver",, "CSNA3_B_0", "BLACK")</f>
        <v>-</v>
      </c>
      <c r="AN16" t="str">
        <f>RTD("rtdtrading.rtdserver",, "CSNA3_B_0", "IMPVT")</f>
        <v>-</v>
      </c>
      <c r="AO16" t="str">
        <f>RTD("rtdtrading.rtdserver",, "CSNA3_B_0", "DELTA")</f>
        <v>-</v>
      </c>
      <c r="AP16" t="str">
        <f>RTD("rtdtrading.rtdserver",, "CSNA3_B_0", "GAMA")</f>
        <v>-</v>
      </c>
      <c r="AQ16" t="str">
        <f>RTD("rtdtrading.rtdserver",, "CSNA3_B_0", "THETA")</f>
        <v>-</v>
      </c>
      <c r="AR16" t="str">
        <f>RTD("rtdtrading.rtdserver",, "CSNA3_B_0", "RHO")</f>
        <v>-</v>
      </c>
      <c r="AS16" t="str">
        <f>RTD("rtdtrading.rtdserver",, "CSNA3_B_0", "VEGA")</f>
        <v>-</v>
      </c>
      <c r="AT16" t="str">
        <f>RTD("rtdtrading.rtdserver",, "CSNA3_B_0", "VIA")</f>
        <v>-</v>
      </c>
      <c r="AU16" t="str">
        <f>RTD("rtdtrading.rtdserver",, "CSNA3_B_0", "VIB")</f>
        <v>-</v>
      </c>
      <c r="AV16" t="str">
        <f>RTD("rtdtrading.rtdserver",, "CSNA3_B_0", "DOBRAR")</f>
        <v>-</v>
      </c>
      <c r="AW16" t="str">
        <f>RTD("rtdtrading.rtdserver",, "CSNA3_B_0", "VIVH")</f>
        <v>-</v>
      </c>
      <c r="AX16" t="str">
        <f>RTD("rtdtrading.rtdserver",, "CSNA3_B_0", "VINT")</f>
        <v>-</v>
      </c>
      <c r="AY16" t="str">
        <f>RTD("rtdtrading.rtdserver",, "CSNA3_B_0", "VEXT")</f>
        <v>-</v>
      </c>
      <c r="AZ16" t="str">
        <f>RTD("rtdtrading.rtdserver",, "CSNA3_B_0", "101_psicotrade")</f>
        <v>0,00 0,00</v>
      </c>
      <c r="BA16" t="str">
        <f>RTD("rtdtrading.rtdserver",, "CSNA3_B_0", "67")</f>
        <v>5,86</v>
      </c>
    </row>
    <row r="17" spans="1:53" x14ac:dyDescent="0.35">
      <c r="A17" t="s">
        <v>67</v>
      </c>
      <c r="B17" t="str">
        <f>RTD("rtdtrading.rtdserver",, "LREN3_B_0", "DAT")</f>
        <v>13/03/2026</v>
      </c>
      <c r="C17" t="str">
        <f>RTD("rtdtrading.rtdserver",, "LREN3_B_0", "HOR")</f>
        <v>15:11:39</v>
      </c>
      <c r="D17">
        <f>RTD("rtdtrading.rtdserver",, "LREN3_B_0", "ULT")</f>
        <v>15.11</v>
      </c>
      <c r="E17">
        <f>RTD("rtdtrading.rtdserver",, "LREN3_B_0", "ABE")</f>
        <v>15.24</v>
      </c>
      <c r="F17">
        <f>RTD("rtdtrading.rtdserver",, "LREN3_B_0", "MAX")</f>
        <v>15.53</v>
      </c>
      <c r="G17">
        <f>RTD("rtdtrading.rtdserver",, "LREN3_B_0", "MIN")</f>
        <v>15</v>
      </c>
      <c r="H17">
        <f>RTD("rtdtrading.rtdserver",, "LREN3_B_0", "FEC")</f>
        <v>15.020000000000001</v>
      </c>
      <c r="I17">
        <f>RTD("rtdtrading.rtdserver",, "LREN3_B_0", "PEX")</f>
        <v>0</v>
      </c>
      <c r="J17">
        <f>RTD("rtdtrading.rtdserver",, "LREN3_B_0", "VAR")</f>
        <v>0.59920106524632544</v>
      </c>
      <c r="K17">
        <f>RTD("rtdtrading.rtdserver",, "LREN3_B_0", "VARPTS")</f>
        <v>8.9999999999998082E-2</v>
      </c>
      <c r="L17">
        <f>RTD("rtdtrading.rtdserver",, "LREN3_B_0", "MED")</f>
        <v>15.231226470686339</v>
      </c>
      <c r="M17" t="s">
        <v>68</v>
      </c>
      <c r="N17">
        <f>RTD("rtdtrading.rtdserver",, "LREN3_B_0", "NEG")</f>
        <v>19827</v>
      </c>
      <c r="O17">
        <f>RTD("rtdtrading.rtdserver",, "LREN3_B_0", "QUL")</f>
        <v>100</v>
      </c>
      <c r="P17">
        <f>RTD("rtdtrading.rtdserver",, "LREN3_B_0", "QTT")</f>
        <v>8994100</v>
      </c>
      <c r="Q17">
        <f>RTD("rtdtrading.rtdserver",, "LREN3_B_0", "VOL")</f>
        <v>136991174</v>
      </c>
      <c r="R17">
        <f>RTD("rtdtrading.rtdserver",, "LREN3_B_0", "OCP")</f>
        <v>15.1</v>
      </c>
      <c r="S17">
        <f>RTD("rtdtrading.rtdserver",, "LREN3_B_0", "OVD")</f>
        <v>15.11</v>
      </c>
      <c r="T17">
        <f>RTD("rtdtrading.rtdserver",, "LREN3_B_0", "VOC")</f>
        <v>8400</v>
      </c>
      <c r="U17">
        <f>RTD("rtdtrading.rtdserver",, "LREN3_B_0", "VOV")</f>
        <v>6800</v>
      </c>
      <c r="V17">
        <f>RTD("rtdtrading.rtdserver",, "LREN3_B_0", "AJU")</f>
        <v>0</v>
      </c>
      <c r="W17">
        <f>RTD("rtdtrading.rtdserver",, "LREN3_B_0", "AJA")</f>
        <v>0</v>
      </c>
      <c r="X17">
        <f>RTD("rtdtrading.rtdserver",, "LREN3_B_0", "PRT")</f>
        <v>0</v>
      </c>
      <c r="Y17">
        <f>RTD("rtdtrading.rtdserver",, "LREN3_B_0", "QTE")</f>
        <v>0</v>
      </c>
      <c r="Z17">
        <f>RTD("rtdtrading.rtdserver",, "LREN3_B_0", "VPJ")</f>
        <v>158244256.82656828</v>
      </c>
      <c r="AA17">
        <f>RTD("rtdtrading.rtdserver",, "LREN3_B_0", "SEM")</f>
        <v>2.3019634394041844</v>
      </c>
      <c r="AB17">
        <f>RTD("rtdtrading.rtdserver",, "LREN3_B_0", "MES")</f>
        <v>-3.0166880616174625</v>
      </c>
      <c r="AC17">
        <f>RTD("rtdtrading.rtdserver",, "LREN3_B_0", "3M")</f>
        <v>8.8114990206244919</v>
      </c>
      <c r="AD17">
        <f>RTD("rtdtrading.rtdserver",, "LREN3_B_0", "6M")</f>
        <v>-4.1869843947166583</v>
      </c>
      <c r="AE17">
        <f>RTD("rtdtrading.rtdserver",, "LREN3_B_0", "12M")</f>
        <v>30.944952856350511</v>
      </c>
      <c r="AF17">
        <f>RTD("rtdtrading.rtdserver",, "LREN3_B_0", "ANO")</f>
        <v>12.342007434944225</v>
      </c>
      <c r="AG17">
        <f>RTD("rtdtrading.rtdserver",, "LREN3_B_0", "TRIM")</f>
        <v>12.342007434944225</v>
      </c>
      <c r="AH17">
        <f>RTD("rtdtrading.rtdserver",, "LREN3_B_0", "SEMES")</f>
        <v>12.342007434944225</v>
      </c>
      <c r="AI17" t="str">
        <f>RTD("rtdtrading.rtdserver",, "LREN3_B_0", "VEN")</f>
        <v>-</v>
      </c>
      <c r="AJ17" t="str">
        <f>RTD("rtdtrading.rtdserver",, "LREN3_B_0", "VAL")</f>
        <v>31/12/9999</v>
      </c>
      <c r="AK17">
        <f>RTD("rtdtrading.rtdserver",, "LREN3_B_0", "CAB")</f>
        <v>0</v>
      </c>
      <c r="AL17" t="str">
        <f>RTD("rtdtrading.rtdserver",, "LREN3_B_0", "EST")</f>
        <v>Aberto</v>
      </c>
      <c r="AM17" t="str">
        <f>RTD("rtdtrading.rtdserver",, "LREN3_B_0", "BLACK")</f>
        <v>-</v>
      </c>
      <c r="AN17" t="str">
        <f>RTD("rtdtrading.rtdserver",, "LREN3_B_0", "IMPVT")</f>
        <v>-</v>
      </c>
      <c r="AO17" t="str">
        <f>RTD("rtdtrading.rtdserver",, "LREN3_B_0", "DELTA")</f>
        <v>-</v>
      </c>
      <c r="AP17" t="str">
        <f>RTD("rtdtrading.rtdserver",, "LREN3_B_0", "GAMA")</f>
        <v>-</v>
      </c>
      <c r="AQ17" t="str">
        <f>RTD("rtdtrading.rtdserver",, "LREN3_B_0", "THETA")</f>
        <v>-</v>
      </c>
      <c r="AR17" t="str">
        <f>RTD("rtdtrading.rtdserver",, "LREN3_B_0", "RHO")</f>
        <v>-</v>
      </c>
      <c r="AS17" t="str">
        <f>RTD("rtdtrading.rtdserver",, "LREN3_B_0", "VEGA")</f>
        <v>-</v>
      </c>
      <c r="AT17" t="str">
        <f>RTD("rtdtrading.rtdserver",, "LREN3_B_0", "VIA")</f>
        <v>-</v>
      </c>
      <c r="AU17" t="str">
        <f>RTD("rtdtrading.rtdserver",, "LREN3_B_0", "VIB")</f>
        <v>-</v>
      </c>
      <c r="AV17" t="str">
        <f>RTD("rtdtrading.rtdserver",, "LREN3_B_0", "DOBRAR")</f>
        <v>-</v>
      </c>
      <c r="AW17" t="str">
        <f>RTD("rtdtrading.rtdserver",, "LREN3_B_0", "VIVH")</f>
        <v>-</v>
      </c>
      <c r="AX17" t="str">
        <f>RTD("rtdtrading.rtdserver",, "LREN3_B_0", "VINT")</f>
        <v>-</v>
      </c>
      <c r="AY17" t="str">
        <f>RTD("rtdtrading.rtdserver",, "LREN3_B_0", "VEXT")</f>
        <v>-</v>
      </c>
      <c r="AZ17" t="str">
        <f>RTD("rtdtrading.rtdserver",, "LREN3_B_0", "101_psicotrade")</f>
        <v>0,00 0,00</v>
      </c>
      <c r="BA17" t="str">
        <f>RTD("rtdtrading.rtdserver",, "LREN3_B_0", "67")</f>
        <v>15,23</v>
      </c>
    </row>
    <row r="18" spans="1:53" x14ac:dyDescent="0.35">
      <c r="A18" t="s">
        <v>69</v>
      </c>
      <c r="B18" t="str">
        <f>RTD("rtdtrading.rtdserver",, "CIEL3_B_0", "DAT")</f>
        <v>30/12/1899</v>
      </c>
      <c r="C18" t="str">
        <f>RTD("rtdtrading.rtdserver",, "CIEL3_B_0", "HOR")</f>
        <v>00:00:00</v>
      </c>
      <c r="D18">
        <f>RTD("rtdtrading.rtdserver",, "CIEL3_B_0", "ULT")</f>
        <v>0</v>
      </c>
      <c r="E18">
        <f>RTD("rtdtrading.rtdserver",, "CIEL3_B_0", "ABE")</f>
        <v>0</v>
      </c>
      <c r="F18">
        <f>RTD("rtdtrading.rtdserver",, "CIEL3_B_0", "MAX")</f>
        <v>0</v>
      </c>
      <c r="G18">
        <f>RTD("rtdtrading.rtdserver",, "CIEL3_B_0", "MIN")</f>
        <v>0</v>
      </c>
      <c r="H18">
        <f>RTD("rtdtrading.rtdserver",, "CIEL3_B_0", "FEC")</f>
        <v>0</v>
      </c>
      <c r="I18">
        <f>RTD("rtdtrading.rtdserver",, "CIEL3_B_0", "PEX")</f>
        <v>0</v>
      </c>
      <c r="J18">
        <f>RTD("rtdtrading.rtdserver",, "CIEL3_B_0", "VAR")</f>
        <v>0</v>
      </c>
      <c r="K18">
        <f>RTD("rtdtrading.rtdserver",, "CIEL3_B_0", "VARPTS")</f>
        <v>0</v>
      </c>
      <c r="L18">
        <f>RTD("rtdtrading.rtdserver",, "CIEL3_B_0", "MED")</f>
        <v>0</v>
      </c>
      <c r="M18" t="s">
        <v>70</v>
      </c>
      <c r="N18">
        <f>RTD("rtdtrading.rtdserver",, "CIEL3_B_0", "NEG")</f>
        <v>0</v>
      </c>
      <c r="O18">
        <f>RTD("rtdtrading.rtdserver",, "CIEL3_B_0", "QUL")</f>
        <v>0</v>
      </c>
      <c r="P18">
        <f>RTD("rtdtrading.rtdserver",, "CIEL3_B_0", "QTT")</f>
        <v>0</v>
      </c>
      <c r="Q18">
        <f>RTD("rtdtrading.rtdserver",, "CIEL3_B_0", "VOL")</f>
        <v>0</v>
      </c>
      <c r="R18">
        <f>RTD("rtdtrading.rtdserver",, "CIEL3_B_0", "OCP")</f>
        <v>0</v>
      </c>
      <c r="S18">
        <f>RTD("rtdtrading.rtdserver",, "CIEL3_B_0", "OVD")</f>
        <v>0</v>
      </c>
      <c r="T18">
        <f>RTD("rtdtrading.rtdserver",, "CIEL3_B_0", "VOC")</f>
        <v>0</v>
      </c>
      <c r="U18">
        <f>RTD("rtdtrading.rtdserver",, "CIEL3_B_0", "VOV")</f>
        <v>0</v>
      </c>
      <c r="V18">
        <f>RTD("rtdtrading.rtdserver",, "CIEL3_B_0", "AJU")</f>
        <v>0</v>
      </c>
      <c r="W18">
        <f>RTD("rtdtrading.rtdserver",, "CIEL3_B_0", "AJA")</f>
        <v>0</v>
      </c>
      <c r="X18">
        <f>RTD("rtdtrading.rtdserver",, "CIEL3_B_0", "PRT")</f>
        <v>0</v>
      </c>
      <c r="Y18">
        <f>RTD("rtdtrading.rtdserver",, "CIEL3_B_0", "QTE")</f>
        <v>0</v>
      </c>
      <c r="Z18">
        <f>RTD("rtdtrading.rtdserver",, "CIEL3_B_0", "VPJ")</f>
        <v>0</v>
      </c>
      <c r="AA18">
        <f>RTD("rtdtrading.rtdserver",, "CIEL3_B_0", "SEM")</f>
        <v>0</v>
      </c>
      <c r="AB18">
        <f>RTD("rtdtrading.rtdserver",, "CIEL3_B_0", "MES")</f>
        <v>0</v>
      </c>
      <c r="AC18">
        <f>RTD("rtdtrading.rtdserver",, "CIEL3_B_0", "3M")</f>
        <v>0</v>
      </c>
      <c r="AD18">
        <f>RTD("rtdtrading.rtdserver",, "CIEL3_B_0", "6M")</f>
        <v>0</v>
      </c>
      <c r="AE18">
        <f>RTD("rtdtrading.rtdserver",, "CIEL3_B_0", "12M")</f>
        <v>0</v>
      </c>
      <c r="AF18">
        <f>RTD("rtdtrading.rtdserver",, "CIEL3_B_0", "ANO")</f>
        <v>0</v>
      </c>
      <c r="AG18">
        <f>RTD("rtdtrading.rtdserver",, "CIEL3_B_0", "TRIM")</f>
        <v>0</v>
      </c>
      <c r="AH18">
        <f>RTD("rtdtrading.rtdserver",, "CIEL3_B_0", "SEMES")</f>
        <v>0</v>
      </c>
      <c r="AI18" t="str">
        <f>RTD("rtdtrading.rtdserver",, "CIEL3_B_0", "VEN")</f>
        <v>-</v>
      </c>
      <c r="AJ18" t="str">
        <f>RTD("rtdtrading.rtdserver",, "CIEL3_B_0", "VAL")</f>
        <v>31/12/9999</v>
      </c>
      <c r="AK18">
        <f>RTD("rtdtrading.rtdserver",, "CIEL3_B_0", "CAB")</f>
        <v>0</v>
      </c>
      <c r="AL18" t="str">
        <f>RTD("rtdtrading.rtdserver",, "CIEL3_B_0", "EST")</f>
        <v>NONE</v>
      </c>
      <c r="AM18" t="str">
        <f>RTD("rtdtrading.rtdserver",, "CIEL3_B_0", "BLACK")</f>
        <v>-</v>
      </c>
      <c r="AN18" t="str">
        <f>RTD("rtdtrading.rtdserver",, "CIEL3_B_0", "IMPVT")</f>
        <v>-</v>
      </c>
      <c r="AO18" t="str">
        <f>RTD("rtdtrading.rtdserver",, "CIEL3_B_0", "DELTA")</f>
        <v>-</v>
      </c>
      <c r="AP18" t="str">
        <f>RTD("rtdtrading.rtdserver",, "CIEL3_B_0", "GAMA")</f>
        <v>-</v>
      </c>
      <c r="AQ18" t="str">
        <f>RTD("rtdtrading.rtdserver",, "CIEL3_B_0", "THETA")</f>
        <v>-</v>
      </c>
      <c r="AR18" t="str">
        <f>RTD("rtdtrading.rtdserver",, "CIEL3_B_0", "RHO")</f>
        <v>-</v>
      </c>
      <c r="AS18" t="str">
        <f>RTD("rtdtrading.rtdserver",, "CIEL3_B_0", "VEGA")</f>
        <v>-</v>
      </c>
      <c r="AT18" t="str">
        <f>RTD("rtdtrading.rtdserver",, "CIEL3_B_0", "VIA")</f>
        <v>-</v>
      </c>
      <c r="AU18" t="str">
        <f>RTD("rtdtrading.rtdserver",, "CIEL3_B_0", "VIB")</f>
        <v>-</v>
      </c>
      <c r="AV18" t="str">
        <f>RTD("rtdtrading.rtdserver",, "CIEL3_B_0", "DOBRAR")</f>
        <v>-</v>
      </c>
      <c r="AW18" t="str">
        <f>RTD("rtdtrading.rtdserver",, "CIEL3_B_0", "VIVH")</f>
        <v>-</v>
      </c>
      <c r="AX18" t="str">
        <f>RTD("rtdtrading.rtdserver",, "CIEL3_B_0", "VINT")</f>
        <v>-</v>
      </c>
      <c r="AY18" t="str">
        <f>RTD("rtdtrading.rtdserver",, "CIEL3_B_0", "VEXT")</f>
        <v>-</v>
      </c>
      <c r="AZ18" t="str">
        <f>RTD("rtdtrading.rtdserver",, "CIEL3_B_0", "101_psicotrade")</f>
        <v>-</v>
      </c>
      <c r="BA18" t="str">
        <f>RTD("rtdtrading.rtdserver",, "CIEL3_B_0", "67")</f>
        <v>-</v>
      </c>
    </row>
    <row r="19" spans="1:53" x14ac:dyDescent="0.35">
      <c r="A19" t="s">
        <v>71</v>
      </c>
      <c r="B19" t="str">
        <f>RTD("rtdtrading.rtdserver",, "ECOR3_B_0", "DAT")</f>
        <v>13/03/2026</v>
      </c>
      <c r="C19" t="str">
        <f>RTD("rtdtrading.rtdserver",, "ECOR3_B_0", "HOR")</f>
        <v>15:11:39</v>
      </c>
      <c r="D19">
        <f>RTD("rtdtrading.rtdserver",, "ECOR3_B_0", "ULT")</f>
        <v>9.01</v>
      </c>
      <c r="E19">
        <f>RTD("rtdtrading.rtdserver",, "ECOR3_B_0", "ABE")</f>
        <v>9.27</v>
      </c>
      <c r="F19">
        <f>RTD("rtdtrading.rtdserver",, "ECOR3_B_0", "MAX")</f>
        <v>9.2899999999999991</v>
      </c>
      <c r="G19">
        <f>RTD("rtdtrading.rtdserver",, "ECOR3_B_0", "MIN")</f>
        <v>9</v>
      </c>
      <c r="H19">
        <f>RTD("rtdtrading.rtdserver",, "ECOR3_B_0", "FEC")</f>
        <v>9.16</v>
      </c>
      <c r="I19">
        <f>RTD("rtdtrading.rtdserver",, "ECOR3_B_0", "PEX")</f>
        <v>0</v>
      </c>
      <c r="J19">
        <f>RTD("rtdtrading.rtdserver",, "ECOR3_B_0", "VAR")</f>
        <v>-1.6375545851528424</v>
      </c>
      <c r="K19">
        <f>RTD("rtdtrading.rtdserver",, "ECOR3_B_0", "VARPTS")</f>
        <v>-0.15000000000000036</v>
      </c>
      <c r="L19">
        <f>RTD("rtdtrading.rtdserver",, "ECOR3_B_0", "MED")</f>
        <v>9.2174634817741872</v>
      </c>
      <c r="M19" t="s">
        <v>72</v>
      </c>
      <c r="N19">
        <f>RTD("rtdtrading.rtdserver",, "ECOR3_B_0", "NEG")</f>
        <v>11563</v>
      </c>
      <c r="O19">
        <f>RTD("rtdtrading.rtdserver",, "ECOR3_B_0", "QUL")</f>
        <v>100</v>
      </c>
      <c r="P19">
        <f>RTD("rtdtrading.rtdserver",, "ECOR3_B_0", "QTT")</f>
        <v>13513800</v>
      </c>
      <c r="Q19">
        <f>RTD("rtdtrading.rtdserver",, "ECOR3_B_0", "VOL")</f>
        <v>124562958</v>
      </c>
      <c r="R19">
        <f>RTD("rtdtrading.rtdserver",, "ECOR3_B_0", "OCP")</f>
        <v>9.01</v>
      </c>
      <c r="S19">
        <f>RTD("rtdtrading.rtdserver",, "ECOR3_B_0", "OVD")</f>
        <v>9.02</v>
      </c>
      <c r="T19">
        <f>RTD("rtdtrading.rtdserver",, "ECOR3_B_0", "VOC")</f>
        <v>7700</v>
      </c>
      <c r="U19">
        <f>RTD("rtdtrading.rtdserver",, "ECOR3_B_0", "VOV")</f>
        <v>10000</v>
      </c>
      <c r="V19">
        <f>RTD("rtdtrading.rtdserver",, "ECOR3_B_0", "AJU")</f>
        <v>0</v>
      </c>
      <c r="W19">
        <f>RTD("rtdtrading.rtdserver",, "ECOR3_B_0", "AJA")</f>
        <v>0</v>
      </c>
      <c r="X19">
        <f>RTD("rtdtrading.rtdserver",, "ECOR3_B_0", "PRT")</f>
        <v>0</v>
      </c>
      <c r="Y19">
        <f>RTD("rtdtrading.rtdserver",, "ECOR3_B_0", "QTE")</f>
        <v>0</v>
      </c>
      <c r="Z19">
        <f>RTD("rtdtrading.rtdserver",, "ECOR3_B_0", "VPJ")</f>
        <v>143887902.71137494</v>
      </c>
      <c r="AA19">
        <f>RTD("rtdtrading.rtdserver",, "ECOR3_B_0", "SEM")</f>
        <v>-5.7531380753138146</v>
      </c>
      <c r="AB19">
        <f>RTD("rtdtrading.rtdserver",, "ECOR3_B_0", "MES")</f>
        <v>-15.873015873015881</v>
      </c>
      <c r="AC19">
        <f>RTD("rtdtrading.rtdserver",, "ECOR3_B_0", "3M")</f>
        <v>-13.862332695984714</v>
      </c>
      <c r="AD19">
        <f>RTD("rtdtrading.rtdserver",, "ECOR3_B_0", "6M")</f>
        <v>11.648079306071866</v>
      </c>
      <c r="AE19">
        <f>RTD("rtdtrading.rtdserver",, "ECOR3_B_0", "12M")</f>
        <v>82.803116377211495</v>
      </c>
      <c r="AF19">
        <f>RTD("rtdtrading.rtdserver",, "ECOR3_B_0", "ANO")</f>
        <v>-15</v>
      </c>
      <c r="AG19">
        <f>RTD("rtdtrading.rtdserver",, "ECOR3_B_0", "TRIM")</f>
        <v>-15</v>
      </c>
      <c r="AH19">
        <f>RTD("rtdtrading.rtdserver",, "ECOR3_B_0", "SEMES")</f>
        <v>-15</v>
      </c>
      <c r="AI19" t="str">
        <f>RTD("rtdtrading.rtdserver",, "ECOR3_B_0", "VEN")</f>
        <v>-</v>
      </c>
      <c r="AJ19" t="str">
        <f>RTD("rtdtrading.rtdserver",, "ECOR3_B_0", "VAL")</f>
        <v>31/12/9999</v>
      </c>
      <c r="AK19">
        <f>RTD("rtdtrading.rtdserver",, "ECOR3_B_0", "CAB")</f>
        <v>0</v>
      </c>
      <c r="AL19" t="str">
        <f>RTD("rtdtrading.rtdserver",, "ECOR3_B_0", "EST")</f>
        <v>Aberto</v>
      </c>
      <c r="AM19" t="str">
        <f>RTD("rtdtrading.rtdserver",, "ECOR3_B_0", "BLACK")</f>
        <v>-</v>
      </c>
      <c r="AN19" t="str">
        <f>RTD("rtdtrading.rtdserver",, "ECOR3_B_0", "IMPVT")</f>
        <v>-</v>
      </c>
      <c r="AO19" t="str">
        <f>RTD("rtdtrading.rtdserver",, "ECOR3_B_0", "DELTA")</f>
        <v>-</v>
      </c>
      <c r="AP19" t="str">
        <f>RTD("rtdtrading.rtdserver",, "ECOR3_B_0", "GAMA")</f>
        <v>-</v>
      </c>
      <c r="AQ19" t="str">
        <f>RTD("rtdtrading.rtdserver",, "ECOR3_B_0", "THETA")</f>
        <v>-</v>
      </c>
      <c r="AR19" t="str">
        <f>RTD("rtdtrading.rtdserver",, "ECOR3_B_0", "RHO")</f>
        <v>-</v>
      </c>
      <c r="AS19" t="str">
        <f>RTD("rtdtrading.rtdserver",, "ECOR3_B_0", "VEGA")</f>
        <v>-</v>
      </c>
      <c r="AT19" t="str">
        <f>RTD("rtdtrading.rtdserver",, "ECOR3_B_0", "VIA")</f>
        <v>-</v>
      </c>
      <c r="AU19" t="str">
        <f>RTD("rtdtrading.rtdserver",, "ECOR3_B_0", "VIB")</f>
        <v>-</v>
      </c>
      <c r="AV19" t="str">
        <f>RTD("rtdtrading.rtdserver",, "ECOR3_B_0", "DOBRAR")</f>
        <v>-</v>
      </c>
      <c r="AW19" t="str">
        <f>RTD("rtdtrading.rtdserver",, "ECOR3_B_0", "VIVH")</f>
        <v>-</v>
      </c>
      <c r="AX19" t="str">
        <f>RTD("rtdtrading.rtdserver",, "ECOR3_B_0", "VINT")</f>
        <v>-</v>
      </c>
      <c r="AY19" t="str">
        <f>RTD("rtdtrading.rtdserver",, "ECOR3_B_0", "VEXT")</f>
        <v>-</v>
      </c>
      <c r="AZ19" t="str">
        <f>RTD("rtdtrading.rtdserver",, "ECOR3_B_0", "101_psicotrade")</f>
        <v>0,00 0,00</v>
      </c>
      <c r="BA19" t="str">
        <f>RTD("rtdtrading.rtdserver",, "ECOR3_B_0", "67")</f>
        <v>9,22</v>
      </c>
    </row>
    <row r="20" spans="1:53" x14ac:dyDescent="0.35">
      <c r="A20" t="s">
        <v>73</v>
      </c>
      <c r="B20" t="str">
        <f>RTD("rtdtrading.rtdserver",, "GFSA3_B_0", "DAT")</f>
        <v>13/03/2026</v>
      </c>
      <c r="C20" t="str">
        <f>RTD("rtdtrading.rtdserver",, "GFSA3_B_0", "HOR")</f>
        <v>15:10:12</v>
      </c>
      <c r="D20">
        <f>RTD("rtdtrading.rtdserver",, "GFSA3_B_0", "ULT")</f>
        <v>1.97</v>
      </c>
      <c r="E20">
        <f>RTD("rtdtrading.rtdserver",, "GFSA3_B_0", "ABE")</f>
        <v>1.99</v>
      </c>
      <c r="F20">
        <f>RTD("rtdtrading.rtdserver",, "GFSA3_B_0", "MAX")</f>
        <v>2.0099999999999998</v>
      </c>
      <c r="G20">
        <f>RTD("rtdtrading.rtdserver",, "GFSA3_B_0", "MIN")</f>
        <v>1.92</v>
      </c>
      <c r="H20">
        <f>RTD("rtdtrading.rtdserver",, "GFSA3_B_0", "FEC")</f>
        <v>1.9700000000000002</v>
      </c>
      <c r="I20">
        <f>RTD("rtdtrading.rtdserver",, "GFSA3_B_0", "PEX")</f>
        <v>0</v>
      </c>
      <c r="J20">
        <f>RTD("rtdtrading.rtdserver",, "GFSA3_B_0", "VAR")</f>
        <v>-1.1271299742387376E-14</v>
      </c>
      <c r="K20">
        <f>RTD("rtdtrading.rtdserver",, "GFSA3_B_0", "VARPTS")</f>
        <v>-2.2204460492503131E-16</v>
      </c>
      <c r="L20">
        <f>RTD("rtdtrading.rtdserver",, "GFSA3_B_0", "MED")</f>
        <v>1.9663931297709925</v>
      </c>
      <c r="M20" t="s">
        <v>74</v>
      </c>
      <c r="N20">
        <f>RTD("rtdtrading.rtdserver",, "GFSA3_B_0", "NEG")</f>
        <v>584</v>
      </c>
      <c r="O20">
        <f>RTD("rtdtrading.rtdserver",, "GFSA3_B_0", "QUL")</f>
        <v>100</v>
      </c>
      <c r="P20">
        <f>RTD("rtdtrading.rtdserver",, "GFSA3_B_0", "QTT")</f>
        <v>628800</v>
      </c>
      <c r="Q20">
        <f>RTD("rtdtrading.rtdserver",, "GFSA3_B_0", "VOL")</f>
        <v>1236468</v>
      </c>
      <c r="R20">
        <f>RTD("rtdtrading.rtdserver",, "GFSA3_B_0", "OCP")</f>
        <v>1.97</v>
      </c>
      <c r="S20">
        <f>RTD("rtdtrading.rtdserver",, "GFSA3_B_0", "OVD")</f>
        <v>1.98</v>
      </c>
      <c r="T20">
        <f>RTD("rtdtrading.rtdserver",, "GFSA3_B_0", "VOC")</f>
        <v>500</v>
      </c>
      <c r="U20">
        <f>RTD("rtdtrading.rtdserver",, "GFSA3_B_0", "VOV")</f>
        <v>24200</v>
      </c>
      <c r="V20">
        <f>RTD("rtdtrading.rtdserver",, "GFSA3_B_0", "AJU")</f>
        <v>0</v>
      </c>
      <c r="W20">
        <f>RTD("rtdtrading.rtdserver",, "GFSA3_B_0", "AJA")</f>
        <v>0</v>
      </c>
      <c r="X20">
        <f>RTD("rtdtrading.rtdserver",, "GFSA3_B_0", "PRT")</f>
        <v>0</v>
      </c>
      <c r="Y20">
        <f>RTD("rtdtrading.rtdserver",, "GFSA3_B_0", "QTE")</f>
        <v>0</v>
      </c>
      <c r="Z20">
        <f>RTD("rtdtrading.rtdserver",, "GFSA3_B_0", "VPJ")</f>
        <v>1434972.5338491295</v>
      </c>
      <c r="AA20">
        <f>RTD("rtdtrading.rtdserver",, "GFSA3_B_0", "SEM")</f>
        <v>3.1413612565444935</v>
      </c>
      <c r="AB20">
        <f>RTD("rtdtrading.rtdserver",, "GFSA3_B_0", "MES")</f>
        <v>-16.877637130801691</v>
      </c>
      <c r="AC20">
        <f>RTD("rtdtrading.rtdserver",, "GFSA3_B_0", "3M")</f>
        <v>-62.332695984703648</v>
      </c>
      <c r="AD20">
        <f>RTD("rtdtrading.rtdserver",, "GFSA3_B_0", "6M")</f>
        <v>-83.569641367806497</v>
      </c>
      <c r="AE20">
        <f>RTD("rtdtrading.rtdserver",, "GFSA3_B_0", "12M")</f>
        <v>-91.652542372881356</v>
      </c>
      <c r="AF20">
        <f>RTD("rtdtrading.rtdserver",, "GFSA3_B_0", "ANO")</f>
        <v>-63.177570093457959</v>
      </c>
      <c r="AG20">
        <f>RTD("rtdtrading.rtdserver",, "GFSA3_B_0", "TRIM")</f>
        <v>-63.177570093457959</v>
      </c>
      <c r="AH20">
        <f>RTD("rtdtrading.rtdserver",, "GFSA3_B_0", "SEMES")</f>
        <v>-63.177570093457959</v>
      </c>
      <c r="AI20" t="str">
        <f>RTD("rtdtrading.rtdserver",, "GFSA3_B_0", "VEN")</f>
        <v>-</v>
      </c>
      <c r="AJ20" t="str">
        <f>RTD("rtdtrading.rtdserver",, "GFSA3_B_0", "VAL")</f>
        <v>31/12/9999</v>
      </c>
      <c r="AK20">
        <f>RTD("rtdtrading.rtdserver",, "GFSA3_B_0", "CAB")</f>
        <v>0</v>
      </c>
      <c r="AL20" t="str">
        <f>RTD("rtdtrading.rtdserver",, "GFSA3_B_0", "EST")</f>
        <v>Aberto</v>
      </c>
      <c r="AM20" t="str">
        <f>RTD("rtdtrading.rtdserver",, "GFSA3_B_0", "BLACK")</f>
        <v>-</v>
      </c>
      <c r="AN20" t="str">
        <f>RTD("rtdtrading.rtdserver",, "GFSA3_B_0", "IMPVT")</f>
        <v>-</v>
      </c>
      <c r="AO20" t="str">
        <f>RTD("rtdtrading.rtdserver",, "GFSA3_B_0", "DELTA")</f>
        <v>-</v>
      </c>
      <c r="AP20" t="str">
        <f>RTD("rtdtrading.rtdserver",, "GFSA3_B_0", "GAMA")</f>
        <v>-</v>
      </c>
      <c r="AQ20" t="str">
        <f>RTD("rtdtrading.rtdserver",, "GFSA3_B_0", "THETA")</f>
        <v>-</v>
      </c>
      <c r="AR20" t="str">
        <f>RTD("rtdtrading.rtdserver",, "GFSA3_B_0", "RHO")</f>
        <v>-</v>
      </c>
      <c r="AS20" t="str">
        <f>RTD("rtdtrading.rtdserver",, "GFSA3_B_0", "VEGA")</f>
        <v>-</v>
      </c>
      <c r="AT20" t="str">
        <f>RTD("rtdtrading.rtdserver",, "GFSA3_B_0", "VIA")</f>
        <v>-</v>
      </c>
      <c r="AU20" t="str">
        <f>RTD("rtdtrading.rtdserver",, "GFSA3_B_0", "VIB")</f>
        <v>-</v>
      </c>
      <c r="AV20" t="str">
        <f>RTD("rtdtrading.rtdserver",, "GFSA3_B_0", "DOBRAR")</f>
        <v>-</v>
      </c>
      <c r="AW20" t="str">
        <f>RTD("rtdtrading.rtdserver",, "GFSA3_B_0", "VIVH")</f>
        <v>-</v>
      </c>
      <c r="AX20" t="str">
        <f>RTD("rtdtrading.rtdserver",, "GFSA3_B_0", "VINT")</f>
        <v>-</v>
      </c>
      <c r="AY20" t="str">
        <f>RTD("rtdtrading.rtdserver",, "GFSA3_B_0", "VEXT")</f>
        <v>-</v>
      </c>
      <c r="AZ20" t="str">
        <f>RTD("rtdtrading.rtdserver",, "GFSA3_B_0", "101_psicotrade")</f>
        <v>0,00 0,00</v>
      </c>
      <c r="BA20" t="str">
        <f>RTD("rtdtrading.rtdserver",, "GFSA3_B_0", "67")</f>
        <v>1,97</v>
      </c>
    </row>
    <row r="21" spans="1:53" x14ac:dyDescent="0.35">
      <c r="A21" t="s">
        <v>75</v>
      </c>
      <c r="B21" t="str">
        <f>RTD("rtdtrading.rtdserver",, "MRVE3_B_0", "DAT")</f>
        <v>13/03/2026</v>
      </c>
      <c r="C21" t="str">
        <f>RTD("rtdtrading.rtdserver",, "MRVE3_B_0", "HOR")</f>
        <v>15:11:39</v>
      </c>
      <c r="D21">
        <f>RTD("rtdtrading.rtdserver",, "MRVE3_B_0", "ULT")</f>
        <v>7.7</v>
      </c>
      <c r="E21">
        <f>RTD("rtdtrading.rtdserver",, "MRVE3_B_0", "ABE")</f>
        <v>8.19</v>
      </c>
      <c r="F21">
        <f>RTD("rtdtrading.rtdserver",, "MRVE3_B_0", "MAX")</f>
        <v>8.25</v>
      </c>
      <c r="G21">
        <f>RTD("rtdtrading.rtdserver",, "MRVE3_B_0", "MIN")</f>
        <v>7.61</v>
      </c>
      <c r="H21">
        <f>RTD("rtdtrading.rtdserver",, "MRVE3_B_0", "FEC")</f>
        <v>8.120000000000001</v>
      </c>
      <c r="I21">
        <f>RTD("rtdtrading.rtdserver",, "MRVE3_B_0", "PEX")</f>
        <v>0</v>
      </c>
      <c r="J21">
        <f>RTD("rtdtrading.rtdserver",, "MRVE3_B_0", "VAR")</f>
        <v>-5.1724137931034582</v>
      </c>
      <c r="K21">
        <f>RTD("rtdtrading.rtdserver",, "MRVE3_B_0", "VARPTS")</f>
        <v>-0.42000000000000082</v>
      </c>
      <c r="L21">
        <f>RTD("rtdtrading.rtdserver",, "MRVE3_B_0", "MED")</f>
        <v>7.8732480060290149</v>
      </c>
      <c r="M21" t="s">
        <v>76</v>
      </c>
      <c r="N21">
        <f>RTD("rtdtrading.rtdserver",, "MRVE3_B_0", "NEG")</f>
        <v>16017</v>
      </c>
      <c r="O21">
        <f>RTD("rtdtrading.rtdserver",, "MRVE3_B_0", "QUL")</f>
        <v>100</v>
      </c>
      <c r="P21">
        <f>RTD("rtdtrading.rtdserver",, "MRVE3_B_0", "QTT")</f>
        <v>15923000</v>
      </c>
      <c r="Q21">
        <f>RTD("rtdtrading.rtdserver",, "MRVE3_B_0", "VOL")</f>
        <v>125365728</v>
      </c>
      <c r="R21">
        <f>RTD("rtdtrading.rtdserver",, "MRVE3_B_0", "OCP")</f>
        <v>7.7</v>
      </c>
      <c r="S21">
        <f>RTD("rtdtrading.rtdserver",, "MRVE3_B_0", "OVD")</f>
        <v>7.71</v>
      </c>
      <c r="T21">
        <f>RTD("rtdtrading.rtdserver",, "MRVE3_B_0", "VOC")</f>
        <v>6400</v>
      </c>
      <c r="U21">
        <f>RTD("rtdtrading.rtdserver",, "MRVE3_B_0", "VOV")</f>
        <v>20700</v>
      </c>
      <c r="V21">
        <f>RTD("rtdtrading.rtdserver",, "MRVE3_B_0", "AJU")</f>
        <v>0</v>
      </c>
      <c r="W21">
        <f>RTD("rtdtrading.rtdserver",, "MRVE3_B_0", "AJA")</f>
        <v>0</v>
      </c>
      <c r="X21">
        <f>RTD("rtdtrading.rtdserver",, "MRVE3_B_0", "PRT")</f>
        <v>0</v>
      </c>
      <c r="Y21">
        <f>RTD("rtdtrading.rtdserver",, "MRVE3_B_0", "QTE")</f>
        <v>0</v>
      </c>
      <c r="Z21">
        <f>RTD("rtdtrading.rtdserver",, "MRVE3_B_0", "VPJ")</f>
        <v>144815216.04363871</v>
      </c>
      <c r="AA21">
        <f>RTD("rtdtrading.rtdserver",, "MRVE3_B_0", "SEM")</f>
        <v>-17.20430107526882</v>
      </c>
      <c r="AB21">
        <f>RTD("rtdtrading.rtdserver",, "MRVE3_B_0", "MES")</f>
        <v>-24.8046875</v>
      </c>
      <c r="AC21">
        <f>RTD("rtdtrading.rtdserver",, "MRVE3_B_0", "3M")</f>
        <v>-6.3260340632603453</v>
      </c>
      <c r="AD21">
        <f>RTD("rtdtrading.rtdserver",, "MRVE3_B_0", "6M")</f>
        <v>-0.25906735751295934</v>
      </c>
      <c r="AE21">
        <f>RTD("rtdtrading.rtdserver",, "MRVE3_B_0", "12M")</f>
        <v>65.236051502145926</v>
      </c>
      <c r="AF21">
        <f>RTD("rtdtrading.rtdserver",, "MRVE3_B_0", "ANO")</f>
        <v>-1.1553273427471098</v>
      </c>
      <c r="AG21">
        <f>RTD("rtdtrading.rtdserver",, "MRVE3_B_0", "TRIM")</f>
        <v>-1.1553273427471098</v>
      </c>
      <c r="AH21">
        <f>RTD("rtdtrading.rtdserver",, "MRVE3_B_0", "SEMES")</f>
        <v>-1.1553273427471098</v>
      </c>
      <c r="AI21" t="str">
        <f>RTD("rtdtrading.rtdserver",, "MRVE3_B_0", "VEN")</f>
        <v>-</v>
      </c>
      <c r="AJ21" t="str">
        <f>RTD("rtdtrading.rtdserver",, "MRVE3_B_0", "VAL")</f>
        <v>31/12/9999</v>
      </c>
      <c r="AK21">
        <f>RTD("rtdtrading.rtdserver",, "MRVE3_B_0", "CAB")</f>
        <v>0</v>
      </c>
      <c r="AL21" t="str">
        <f>RTD("rtdtrading.rtdserver",, "MRVE3_B_0", "EST")</f>
        <v>Aberto</v>
      </c>
      <c r="AM21" t="str">
        <f>RTD("rtdtrading.rtdserver",, "MRVE3_B_0", "BLACK")</f>
        <v>-</v>
      </c>
      <c r="AN21" t="str">
        <f>RTD("rtdtrading.rtdserver",, "MRVE3_B_0", "IMPVT")</f>
        <v>-</v>
      </c>
      <c r="AO21" t="str">
        <f>RTD("rtdtrading.rtdserver",, "MRVE3_B_0", "DELTA")</f>
        <v>-</v>
      </c>
      <c r="AP21" t="str">
        <f>RTD("rtdtrading.rtdserver",, "MRVE3_B_0", "GAMA")</f>
        <v>-</v>
      </c>
      <c r="AQ21" t="str">
        <f>RTD("rtdtrading.rtdserver",, "MRVE3_B_0", "THETA")</f>
        <v>-</v>
      </c>
      <c r="AR21" t="str">
        <f>RTD("rtdtrading.rtdserver",, "MRVE3_B_0", "RHO")</f>
        <v>-</v>
      </c>
      <c r="AS21" t="str">
        <f>RTD("rtdtrading.rtdserver",, "MRVE3_B_0", "VEGA")</f>
        <v>-</v>
      </c>
      <c r="AT21" t="str">
        <f>RTD("rtdtrading.rtdserver",, "MRVE3_B_0", "VIA")</f>
        <v>-</v>
      </c>
      <c r="AU21" t="str">
        <f>RTD("rtdtrading.rtdserver",, "MRVE3_B_0", "VIB")</f>
        <v>-</v>
      </c>
      <c r="AV21" t="str">
        <f>RTD("rtdtrading.rtdserver",, "MRVE3_B_0", "DOBRAR")</f>
        <v>-</v>
      </c>
      <c r="AW21" t="str">
        <f>RTD("rtdtrading.rtdserver",, "MRVE3_B_0", "VIVH")</f>
        <v>-</v>
      </c>
      <c r="AX21" t="str">
        <f>RTD("rtdtrading.rtdserver",, "MRVE3_B_0", "VINT")</f>
        <v>-</v>
      </c>
      <c r="AY21" t="str">
        <f>RTD("rtdtrading.rtdserver",, "MRVE3_B_0", "VEXT")</f>
        <v>-</v>
      </c>
      <c r="AZ21" t="str">
        <f>RTD("rtdtrading.rtdserver",, "MRVE3_B_0", "101_psicotrade")</f>
        <v>0,00 0,00</v>
      </c>
      <c r="BA21" t="str">
        <f>RTD("rtdtrading.rtdserver",, "MRVE3_B_0", "67")</f>
        <v>7,87</v>
      </c>
    </row>
    <row r="22" spans="1:53" x14ac:dyDescent="0.35">
      <c r="A22" t="s">
        <v>77</v>
      </c>
      <c r="B22" t="str">
        <f>RTD("rtdtrading.rtdserver",, "BBDC4_B_0", "DAT")</f>
        <v>13/03/2026</v>
      </c>
      <c r="C22" t="str">
        <f>RTD("rtdtrading.rtdserver",, "BBDC4_B_0", "HOR")</f>
        <v>15:11:39</v>
      </c>
      <c r="D22">
        <f>RTD("rtdtrading.rtdserver",, "BBDC4_B_0", "ULT")</f>
        <v>19.010000000000002</v>
      </c>
      <c r="E22">
        <f>RTD("rtdtrading.rtdserver",, "BBDC4_B_0", "ABE")</f>
        <v>19.48</v>
      </c>
      <c r="F22">
        <f>RTD("rtdtrading.rtdserver",, "BBDC4_B_0", "MAX")</f>
        <v>19.649999999999999</v>
      </c>
      <c r="G22">
        <f>RTD("rtdtrading.rtdserver",, "BBDC4_B_0", "MIN")</f>
        <v>18.940000000000001</v>
      </c>
      <c r="H22">
        <f>RTD("rtdtrading.rtdserver",, "BBDC4_B_0", "FEC")</f>
        <v>19.39</v>
      </c>
      <c r="I22">
        <f>RTD("rtdtrading.rtdserver",, "BBDC4_B_0", "PEX")</f>
        <v>0</v>
      </c>
      <c r="J22">
        <f>RTD("rtdtrading.rtdserver",, "BBDC4_B_0", "VAR")</f>
        <v>-1.9597730789066476</v>
      </c>
      <c r="K22">
        <f>RTD("rtdtrading.rtdserver",, "BBDC4_B_0", "VARPTS")</f>
        <v>-0.37999999999999901</v>
      </c>
      <c r="L22">
        <f>RTD("rtdtrading.rtdserver",, "BBDC4_B_0", "MED")</f>
        <v>19.168124440613916</v>
      </c>
      <c r="M22" t="s">
        <v>114</v>
      </c>
      <c r="N22">
        <f>RTD("rtdtrading.rtdserver",, "BBDC4_B_0", "NEG")</f>
        <v>23253</v>
      </c>
      <c r="O22">
        <f>RTD("rtdtrading.rtdserver",, "BBDC4_B_0", "QUL")</f>
        <v>100</v>
      </c>
      <c r="P22">
        <f>RTD("rtdtrading.rtdserver",, "BBDC4_B_0", "QTT")</f>
        <v>24133600</v>
      </c>
      <c r="Q22">
        <f>RTD("rtdtrading.rtdserver",, "BBDC4_B_0", "VOL")</f>
        <v>462595848</v>
      </c>
      <c r="R22">
        <f>RTD("rtdtrading.rtdserver",, "BBDC4_B_0", "OCP")</f>
        <v>19.010000000000002</v>
      </c>
      <c r="S22">
        <f>RTD("rtdtrading.rtdserver",, "BBDC4_B_0", "OVD")</f>
        <v>19.02</v>
      </c>
      <c r="T22">
        <f>RTD("rtdtrading.rtdserver",, "BBDC4_B_0", "VOC")</f>
        <v>5000</v>
      </c>
      <c r="U22">
        <f>RTD("rtdtrading.rtdserver",, "BBDC4_B_0", "VOV")</f>
        <v>17800</v>
      </c>
      <c r="V22">
        <f>RTD("rtdtrading.rtdserver",, "BBDC4_B_0", "AJU")</f>
        <v>0</v>
      </c>
      <c r="W22">
        <f>RTD("rtdtrading.rtdserver",, "BBDC4_B_0", "AJA")</f>
        <v>0</v>
      </c>
      <c r="X22">
        <f>RTD("rtdtrading.rtdserver",, "BBDC4_B_0", "PRT")</f>
        <v>0</v>
      </c>
      <c r="Y22">
        <f>RTD("rtdtrading.rtdserver",, "BBDC4_B_0", "QTE")</f>
        <v>0</v>
      </c>
      <c r="Z22">
        <f>RTD("rtdtrading.rtdserver",, "BBDC4_B_0", "VPJ")</f>
        <v>534363886.66773623</v>
      </c>
      <c r="AA22">
        <f>RTD("rtdtrading.rtdserver",, "BBDC4_B_0", "SEM")</f>
        <v>-2.7621483375959035</v>
      </c>
      <c r="AB22">
        <f>RTD("rtdtrading.rtdserver",, "BBDC4_B_0", "MES")</f>
        <v>-10.049730527730324</v>
      </c>
      <c r="AC22">
        <f>RTD("rtdtrading.rtdserver",, "BBDC4_B_0", "3M")</f>
        <v>4.6391298604077704</v>
      </c>
      <c r="AD22">
        <f>RTD("rtdtrading.rtdserver",, "BBDC4_B_0", "6M")</f>
        <v>15.858824103023542</v>
      </c>
      <c r="AE22">
        <f>RTD("rtdtrading.rtdserver",, "BBDC4_B_0", "12M")</f>
        <v>78.813304236586674</v>
      </c>
      <c r="AF22">
        <f>RTD("rtdtrading.rtdserver",, "BBDC4_B_0", "ANO")</f>
        <v>4.7584933733777968</v>
      </c>
      <c r="AG22">
        <f>RTD("rtdtrading.rtdserver",, "BBDC4_B_0", "TRIM")</f>
        <v>4.7584933733777968</v>
      </c>
      <c r="AH22">
        <f>RTD("rtdtrading.rtdserver",, "BBDC4_B_0", "SEMES")</f>
        <v>4.7584933733777968</v>
      </c>
      <c r="AI22" t="str">
        <f>RTD("rtdtrading.rtdserver",, "BBDC4_B_0", "VEN")</f>
        <v>-</v>
      </c>
      <c r="AJ22" t="str">
        <f>RTD("rtdtrading.rtdserver",, "BBDC4_B_0", "VAL")</f>
        <v>31/12/9999</v>
      </c>
      <c r="AK22">
        <f>RTD("rtdtrading.rtdserver",, "BBDC4_B_0", "CAB")</f>
        <v>0</v>
      </c>
      <c r="AL22" t="str">
        <f>RTD("rtdtrading.rtdserver",, "BBDC4_B_0", "EST")</f>
        <v>Aberto</v>
      </c>
      <c r="AM22" t="str">
        <f>RTD("rtdtrading.rtdserver",, "BBDC4_B_0", "BLACK")</f>
        <v>-</v>
      </c>
      <c r="AN22" t="str">
        <f>RTD("rtdtrading.rtdserver",, "BBDC4_B_0", "IMPVT")</f>
        <v>-</v>
      </c>
      <c r="AO22" t="str">
        <f>RTD("rtdtrading.rtdserver",, "BBDC4_B_0", "DELTA")</f>
        <v>-</v>
      </c>
      <c r="AP22" t="str">
        <f>RTD("rtdtrading.rtdserver",, "BBDC4_B_0", "GAMA")</f>
        <v>-</v>
      </c>
      <c r="AQ22" t="str">
        <f>RTD("rtdtrading.rtdserver",, "BBDC4_B_0", "THETA")</f>
        <v>-</v>
      </c>
      <c r="AR22" t="str">
        <f>RTD("rtdtrading.rtdserver",, "BBDC4_B_0", "RHO")</f>
        <v>-</v>
      </c>
      <c r="AS22" t="str">
        <f>RTD("rtdtrading.rtdserver",, "BBDC4_B_0", "VEGA")</f>
        <v>-</v>
      </c>
      <c r="AT22" t="str">
        <f>RTD("rtdtrading.rtdserver",, "BBDC4_B_0", "VIA")</f>
        <v>-</v>
      </c>
      <c r="AU22" t="str">
        <f>RTD("rtdtrading.rtdserver",, "BBDC4_B_0", "VIB")</f>
        <v>-</v>
      </c>
      <c r="AV22" t="str">
        <f>RTD("rtdtrading.rtdserver",, "BBDC4_B_0", "DOBRAR")</f>
        <v>-</v>
      </c>
      <c r="AW22" t="str">
        <f>RTD("rtdtrading.rtdserver",, "BBDC4_B_0", "VIVH")</f>
        <v>-</v>
      </c>
      <c r="AX22" t="str">
        <f>RTD("rtdtrading.rtdserver",, "BBDC4_B_0", "VINT")</f>
        <v>-</v>
      </c>
      <c r="AY22" t="str">
        <f>RTD("rtdtrading.rtdserver",, "BBDC4_B_0", "VEXT")</f>
        <v>-</v>
      </c>
      <c r="AZ22" t="str">
        <f>RTD("rtdtrading.rtdserver",, "BBDC4_B_0", "101_psicotrade")</f>
        <v>0,00 0,00</v>
      </c>
      <c r="BA22" t="str">
        <f>RTD("rtdtrading.rtdserver",, "BBDC4_B_0", "67")</f>
        <v>19,17</v>
      </c>
    </row>
    <row r="23" spans="1:53" x14ac:dyDescent="0.35">
      <c r="A23" t="s">
        <v>78</v>
      </c>
      <c r="B23" t="str">
        <f>RTD("rtdtrading.rtdserver",, "RENT3_B_0", "DAT")</f>
        <v>13/03/2026</v>
      </c>
      <c r="C23" t="str">
        <f>RTD("rtdtrading.rtdserver",, "RENT3_B_0", "HOR")</f>
        <v>15:11:31</v>
      </c>
      <c r="D23">
        <f>RTD("rtdtrading.rtdserver",, "RENT3_B_0", "ULT")</f>
        <v>43.7</v>
      </c>
      <c r="E23">
        <f>RTD("rtdtrading.rtdserver",, "RENT3_B_0", "ABE")</f>
        <v>45.27</v>
      </c>
      <c r="F23">
        <f>RTD("rtdtrading.rtdserver",, "RENT3_B_0", "MAX")</f>
        <v>45.89</v>
      </c>
      <c r="G23">
        <f>RTD("rtdtrading.rtdserver",, "RENT3_B_0", "MIN")</f>
        <v>43.42</v>
      </c>
      <c r="H23">
        <f>RTD("rtdtrading.rtdserver",, "RENT3_B_0", "FEC")</f>
        <v>45.17</v>
      </c>
      <c r="I23">
        <f>RTD("rtdtrading.rtdserver",, "RENT3_B_0", "PEX")</f>
        <v>0</v>
      </c>
      <c r="J23">
        <f>RTD("rtdtrading.rtdserver",, "RENT3_B_0", "VAR")</f>
        <v>-3.254372371042725</v>
      </c>
      <c r="K23">
        <f>RTD("rtdtrading.rtdserver",, "RENT3_B_0", "VARPTS")</f>
        <v>-1.4699999999999989</v>
      </c>
      <c r="L23">
        <f>RTD("rtdtrading.rtdserver",, "RENT3_B_0", "MED")</f>
        <v>44.30906142099888</v>
      </c>
      <c r="M23" t="s">
        <v>79</v>
      </c>
      <c r="N23">
        <f>RTD("rtdtrading.rtdserver",, "RENT3_B_0", "NEG")</f>
        <v>22014</v>
      </c>
      <c r="O23">
        <f>RTD("rtdtrading.rtdserver",, "RENT3_B_0", "QUL")</f>
        <v>200</v>
      </c>
      <c r="P23">
        <f>RTD("rtdtrading.rtdserver",, "RENT3_B_0", "QTT")</f>
        <v>6168900</v>
      </c>
      <c r="Q23">
        <f>RTD("rtdtrading.rtdserver",, "RENT3_B_0", "VOL")</f>
        <v>273338169</v>
      </c>
      <c r="R23">
        <f>RTD("rtdtrading.rtdserver",, "RENT3_B_0", "OCP")</f>
        <v>43.7</v>
      </c>
      <c r="S23">
        <f>RTD("rtdtrading.rtdserver",, "RENT3_B_0", "OVD")</f>
        <v>43.72</v>
      </c>
      <c r="T23">
        <f>RTD("rtdtrading.rtdserver",, "RENT3_B_0", "VOC")</f>
        <v>300</v>
      </c>
      <c r="U23">
        <f>RTD("rtdtrading.rtdserver",, "RENT3_B_0", "VOV")</f>
        <v>3600</v>
      </c>
      <c r="V23">
        <f>RTD("rtdtrading.rtdserver",, "RENT3_B_0", "AJU")</f>
        <v>0</v>
      </c>
      <c r="W23">
        <f>RTD("rtdtrading.rtdserver",, "RENT3_B_0", "AJA")</f>
        <v>0</v>
      </c>
      <c r="X23">
        <f>RTD("rtdtrading.rtdserver",, "RENT3_B_0", "PRT")</f>
        <v>0</v>
      </c>
      <c r="Y23">
        <f>RTD("rtdtrading.rtdserver",, "RENT3_B_0", "QTE")</f>
        <v>0</v>
      </c>
      <c r="Z23">
        <f>RTD("rtdtrading.rtdserver",, "RENT3_B_0", "VPJ")</f>
        <v>315879538.30185652</v>
      </c>
      <c r="AA23">
        <f>RTD("rtdtrading.rtdserver",, "RENT3_B_0", "SEM")</f>
        <v>-4.6476107353262099</v>
      </c>
      <c r="AB23">
        <f>RTD("rtdtrading.rtdserver",, "RENT3_B_0", "MES")</f>
        <v>-13.908589440504338</v>
      </c>
      <c r="AC23">
        <f>RTD("rtdtrading.rtdserver",, "RENT3_B_0", "3M")</f>
        <v>-1.9436254381122893</v>
      </c>
      <c r="AD23">
        <f>RTD("rtdtrading.rtdserver",, "RENT3_B_0", "6M")</f>
        <v>19.787397927157194</v>
      </c>
      <c r="AE23">
        <f>RTD("rtdtrading.rtdserver",, "RENT3_B_0", "12M")</f>
        <v>56.080904912083952</v>
      </c>
      <c r="AF23">
        <f>RTD("rtdtrading.rtdserver",, "RENT3_B_0", "ANO")</f>
        <v>0.29837043837503457</v>
      </c>
      <c r="AG23">
        <f>RTD("rtdtrading.rtdserver",, "RENT3_B_0", "TRIM")</f>
        <v>0.29837043837503457</v>
      </c>
      <c r="AH23">
        <f>RTD("rtdtrading.rtdserver",, "RENT3_B_0", "SEMES")</f>
        <v>0.29837043837503457</v>
      </c>
      <c r="AI23" t="str">
        <f>RTD("rtdtrading.rtdserver",, "RENT3_B_0", "VEN")</f>
        <v>-</v>
      </c>
      <c r="AJ23" t="str">
        <f>RTD("rtdtrading.rtdserver",, "RENT3_B_0", "VAL")</f>
        <v>31/12/9999</v>
      </c>
      <c r="AK23">
        <f>RTD("rtdtrading.rtdserver",, "RENT3_B_0", "CAB")</f>
        <v>0</v>
      </c>
      <c r="AL23" t="str">
        <f>RTD("rtdtrading.rtdserver",, "RENT3_B_0", "EST")</f>
        <v>Aberto</v>
      </c>
      <c r="AM23" t="str">
        <f>RTD("rtdtrading.rtdserver",, "RENT3_B_0", "BLACK")</f>
        <v>-</v>
      </c>
      <c r="AN23" t="str">
        <f>RTD("rtdtrading.rtdserver",, "RENT3_B_0", "IMPVT")</f>
        <v>-</v>
      </c>
      <c r="AO23" t="str">
        <f>RTD("rtdtrading.rtdserver",, "RENT3_B_0", "DELTA")</f>
        <v>-</v>
      </c>
      <c r="AP23" t="str">
        <f>RTD("rtdtrading.rtdserver",, "RENT3_B_0", "GAMA")</f>
        <v>-</v>
      </c>
      <c r="AQ23" t="str">
        <f>RTD("rtdtrading.rtdserver",, "RENT3_B_0", "THETA")</f>
        <v>-</v>
      </c>
      <c r="AR23" t="str">
        <f>RTD("rtdtrading.rtdserver",, "RENT3_B_0", "RHO")</f>
        <v>-</v>
      </c>
      <c r="AS23" t="str">
        <f>RTD("rtdtrading.rtdserver",, "RENT3_B_0", "VEGA")</f>
        <v>-</v>
      </c>
      <c r="AT23" t="str">
        <f>RTD("rtdtrading.rtdserver",, "RENT3_B_0", "VIA")</f>
        <v>-</v>
      </c>
      <c r="AU23" t="str">
        <f>RTD("rtdtrading.rtdserver",, "RENT3_B_0", "VIB")</f>
        <v>-</v>
      </c>
      <c r="AV23" t="str">
        <f>RTD("rtdtrading.rtdserver",, "RENT3_B_0", "DOBRAR")</f>
        <v>-</v>
      </c>
      <c r="AW23" t="str">
        <f>RTD("rtdtrading.rtdserver",, "RENT3_B_0", "VIVH")</f>
        <v>-</v>
      </c>
      <c r="AX23" t="str">
        <f>RTD("rtdtrading.rtdserver",, "RENT3_B_0", "VINT")</f>
        <v>-</v>
      </c>
      <c r="AY23" t="str">
        <f>RTD("rtdtrading.rtdserver",, "RENT3_B_0", "VEXT")</f>
        <v>-</v>
      </c>
      <c r="AZ23" t="str">
        <f>RTD("rtdtrading.rtdserver",, "RENT3_B_0", "101_psicotrade")</f>
        <v>0,00 0,00</v>
      </c>
      <c r="BA23" t="str">
        <f>RTD("rtdtrading.rtdserver",, "RENT3_B_0", "67")</f>
        <v>44,31</v>
      </c>
    </row>
    <row r="24" spans="1:53" x14ac:dyDescent="0.35">
      <c r="A24" t="s">
        <v>80</v>
      </c>
      <c r="B24" t="str">
        <f>RTD("rtdtrading.rtdserver",, "BRAP4_B_0", "DAT")</f>
        <v>13/03/2026</v>
      </c>
      <c r="C24" t="str">
        <f>RTD("rtdtrading.rtdserver",, "BRAP4_B_0", "HOR")</f>
        <v>15:11:39</v>
      </c>
      <c r="D24">
        <f>RTD("rtdtrading.rtdserver",, "BRAP4_B_0", "ULT")</f>
        <v>22.17</v>
      </c>
      <c r="E24">
        <f>RTD("rtdtrading.rtdserver",, "BRAP4_B_0", "ABE")</f>
        <v>22.55</v>
      </c>
      <c r="F24">
        <f>RTD("rtdtrading.rtdserver",, "BRAP4_B_0", "MAX")</f>
        <v>22.7</v>
      </c>
      <c r="G24">
        <f>RTD("rtdtrading.rtdserver",, "BRAP4_B_0", "MIN")</f>
        <v>22.14</v>
      </c>
      <c r="H24">
        <f>RTD("rtdtrading.rtdserver",, "BRAP4_B_0", "FEC")</f>
        <v>22.55</v>
      </c>
      <c r="I24">
        <f>RTD("rtdtrading.rtdserver",, "BRAP4_B_0", "PEX")</f>
        <v>0</v>
      </c>
      <c r="J24">
        <f>RTD("rtdtrading.rtdserver",, "BRAP4_B_0", "VAR")</f>
        <v>-1.6851441241685101</v>
      </c>
      <c r="K24">
        <f>RTD("rtdtrading.rtdserver",, "BRAP4_B_0", "VARPTS")</f>
        <v>-0.37999999999999901</v>
      </c>
      <c r="L24">
        <f>RTD("rtdtrading.rtdserver",, "BRAP4_B_0", "MED")</f>
        <v>22.363980242192479</v>
      </c>
      <c r="M24" t="s">
        <v>81</v>
      </c>
      <c r="N24">
        <f>RTD("rtdtrading.rtdserver",, "BRAP4_B_0", "NEG")</f>
        <v>3344</v>
      </c>
      <c r="O24">
        <f>RTD("rtdtrading.rtdserver",, "BRAP4_B_0", "QUL")</f>
        <v>100</v>
      </c>
      <c r="P24">
        <f>RTD("rtdtrading.rtdserver",, "BRAP4_B_0", "QTT")</f>
        <v>941400</v>
      </c>
      <c r="Q24">
        <f>RTD("rtdtrading.rtdserver",, "BRAP4_B_0", "VOL")</f>
        <v>21053451</v>
      </c>
      <c r="R24">
        <f>RTD("rtdtrading.rtdserver",, "BRAP4_B_0", "OCP")</f>
        <v>22.17</v>
      </c>
      <c r="S24">
        <f>RTD("rtdtrading.rtdserver",, "BRAP4_B_0", "OVD")</f>
        <v>22.19</v>
      </c>
      <c r="T24">
        <f>RTD("rtdtrading.rtdserver",, "BRAP4_B_0", "VOC")</f>
        <v>2200</v>
      </c>
      <c r="U24">
        <f>RTD("rtdtrading.rtdserver",, "BRAP4_B_0", "VOV")</f>
        <v>4100</v>
      </c>
      <c r="V24">
        <f>RTD("rtdtrading.rtdserver",, "BRAP4_B_0", "AJU")</f>
        <v>0</v>
      </c>
      <c r="W24">
        <f>RTD("rtdtrading.rtdserver",, "BRAP4_B_0", "AJA")</f>
        <v>0</v>
      </c>
      <c r="X24">
        <f>RTD("rtdtrading.rtdserver",, "BRAP4_B_0", "PRT")</f>
        <v>0</v>
      </c>
      <c r="Y24">
        <f>RTD("rtdtrading.rtdserver",, "BRAP4_B_0", "QTE")</f>
        <v>0</v>
      </c>
      <c r="Z24">
        <f>RTD("rtdtrading.rtdserver",, "BRAP4_B_0", "VPJ")</f>
        <v>24319725.204556394</v>
      </c>
      <c r="AA24">
        <f>RTD("rtdtrading.rtdserver",, "BRAP4_B_0", "SEM")</f>
        <v>-1.1150758251561106</v>
      </c>
      <c r="AB24">
        <f>RTD("rtdtrading.rtdserver",, "BRAP4_B_0", "MES")</f>
        <v>-10.712847362062021</v>
      </c>
      <c r="AC24">
        <f>RTD("rtdtrading.rtdserver",, "BRAP4_B_0", "3M")</f>
        <v>14.33374934246492</v>
      </c>
      <c r="AD24">
        <f>RTD("rtdtrading.rtdserver",, "BRAP4_B_0", "6M")</f>
        <v>46.824109088260037</v>
      </c>
      <c r="AE24">
        <f>RTD("rtdtrading.rtdserver",, "BRAP4_B_0", "12M")</f>
        <v>55.480749000631192</v>
      </c>
      <c r="AF24">
        <f>RTD("rtdtrading.rtdserver",, "BRAP4_B_0", "ANO")</f>
        <v>11.407035175879393</v>
      </c>
      <c r="AG24">
        <f>RTD("rtdtrading.rtdserver",, "BRAP4_B_0", "TRIM")</f>
        <v>11.407035175879393</v>
      </c>
      <c r="AH24">
        <f>RTD("rtdtrading.rtdserver",, "BRAP4_B_0", "SEMES")</f>
        <v>11.407035175879393</v>
      </c>
      <c r="AI24" t="str">
        <f>RTD("rtdtrading.rtdserver",, "BRAP4_B_0", "VEN")</f>
        <v>-</v>
      </c>
      <c r="AJ24" t="str">
        <f>RTD("rtdtrading.rtdserver",, "BRAP4_B_0", "VAL")</f>
        <v>31/12/9999</v>
      </c>
      <c r="AK24">
        <f>RTD("rtdtrading.rtdserver",, "BRAP4_B_0", "CAB")</f>
        <v>0</v>
      </c>
      <c r="AL24" t="str">
        <f>RTD("rtdtrading.rtdserver",, "BRAP4_B_0", "EST")</f>
        <v>Aberto</v>
      </c>
      <c r="AM24" t="str">
        <f>RTD("rtdtrading.rtdserver",, "BRAP4_B_0", "BLACK")</f>
        <v>-</v>
      </c>
      <c r="AN24" t="str">
        <f>RTD("rtdtrading.rtdserver",, "BRAP4_B_0", "IMPVT")</f>
        <v>-</v>
      </c>
      <c r="AO24" t="str">
        <f>RTD("rtdtrading.rtdserver",, "BRAP4_B_0", "DELTA")</f>
        <v>-</v>
      </c>
      <c r="AP24" t="str">
        <f>RTD("rtdtrading.rtdserver",, "BRAP4_B_0", "GAMA")</f>
        <v>-</v>
      </c>
      <c r="AQ24" t="str">
        <f>RTD("rtdtrading.rtdserver",, "BRAP4_B_0", "THETA")</f>
        <v>-</v>
      </c>
      <c r="AR24" t="str">
        <f>RTD("rtdtrading.rtdserver",, "BRAP4_B_0", "RHO")</f>
        <v>-</v>
      </c>
      <c r="AS24" t="str">
        <f>RTD("rtdtrading.rtdserver",, "BRAP4_B_0", "VEGA")</f>
        <v>-</v>
      </c>
      <c r="AT24" t="str">
        <f>RTD("rtdtrading.rtdserver",, "BRAP4_B_0", "VIA")</f>
        <v>-</v>
      </c>
      <c r="AU24" t="str">
        <f>RTD("rtdtrading.rtdserver",, "BRAP4_B_0", "VIB")</f>
        <v>-</v>
      </c>
      <c r="AV24" t="str">
        <f>RTD("rtdtrading.rtdserver",, "BRAP4_B_0", "DOBRAR")</f>
        <v>-</v>
      </c>
      <c r="AW24" t="str">
        <f>RTD("rtdtrading.rtdserver",, "BRAP4_B_0", "VIVH")</f>
        <v>-</v>
      </c>
      <c r="AX24" t="str">
        <f>RTD("rtdtrading.rtdserver",, "BRAP4_B_0", "VINT")</f>
        <v>-</v>
      </c>
      <c r="AY24" t="str">
        <f>RTD("rtdtrading.rtdserver",, "BRAP4_B_0", "VEXT")</f>
        <v>-</v>
      </c>
      <c r="AZ24" t="str">
        <f>RTD("rtdtrading.rtdserver",, "BRAP4_B_0", "101_psicotrade")</f>
        <v>0,00 0,00</v>
      </c>
      <c r="BA24" t="str">
        <f>RTD("rtdtrading.rtdserver",, "BRAP4_B_0", "67")</f>
        <v>22,36</v>
      </c>
    </row>
    <row r="25" spans="1:53" x14ac:dyDescent="0.35">
      <c r="A25" t="s">
        <v>82</v>
      </c>
      <c r="B25" t="str">
        <f>RTD("rtdtrading.rtdserver",, "BBAS3_B_0", "DAT")</f>
        <v>13/03/2026</v>
      </c>
      <c r="C25" t="str">
        <f>RTD("rtdtrading.rtdserver",, "BBAS3_B_0", "HOR")</f>
        <v>15:11:39</v>
      </c>
      <c r="D25">
        <f>RTD("rtdtrading.rtdserver",, "BBAS3_B_0", "ULT")</f>
        <v>23.89</v>
      </c>
      <c r="E25">
        <f>RTD("rtdtrading.rtdserver",, "BBAS3_B_0", "ABE")</f>
        <v>24.46</v>
      </c>
      <c r="F25">
        <f>RTD("rtdtrading.rtdserver",, "BBAS3_B_0", "MAX")</f>
        <v>24.68</v>
      </c>
      <c r="G25">
        <f>RTD("rtdtrading.rtdserver",, "BBAS3_B_0", "MIN")</f>
        <v>23.82</v>
      </c>
      <c r="H25">
        <f>RTD("rtdtrading.rtdserver",, "BBAS3_B_0", "FEC")</f>
        <v>24.23</v>
      </c>
      <c r="I25">
        <f>RTD("rtdtrading.rtdserver",, "BBAS3_B_0", "PEX")</f>
        <v>0</v>
      </c>
      <c r="J25">
        <f>RTD("rtdtrading.rtdserver",, "BBAS3_B_0", "VAR")</f>
        <v>-1.4032191498142792</v>
      </c>
      <c r="K25">
        <f>RTD("rtdtrading.rtdserver",, "BBAS3_B_0", "VARPTS")</f>
        <v>-0.33999999999999986</v>
      </c>
      <c r="L25">
        <f>RTD("rtdtrading.rtdserver",, "BBAS3_B_0", "MED")</f>
        <v>24.150356025090357</v>
      </c>
      <c r="M25" t="s">
        <v>115</v>
      </c>
      <c r="N25">
        <f>RTD("rtdtrading.rtdserver",, "BBAS3_B_0", "NEG")</f>
        <v>22559</v>
      </c>
      <c r="O25">
        <f>RTD("rtdtrading.rtdserver",, "BBAS3_B_0", "QUL")</f>
        <v>200</v>
      </c>
      <c r="P25">
        <f>RTD("rtdtrading.rtdserver",, "BBAS3_B_0", "QTT")</f>
        <v>30545600</v>
      </c>
      <c r="Q25">
        <f>RTD("rtdtrading.rtdserver",, "BBAS3_B_0", "VOL")</f>
        <v>737687115</v>
      </c>
      <c r="R25">
        <f>RTD("rtdtrading.rtdserver",, "BBAS3_B_0", "OCP")</f>
        <v>23.88</v>
      </c>
      <c r="S25">
        <f>RTD("rtdtrading.rtdserver",, "BBAS3_B_0", "OVD")</f>
        <v>23.900000000000002</v>
      </c>
      <c r="T25">
        <f>RTD("rtdtrading.rtdserver",, "BBAS3_B_0", "VOC")</f>
        <v>10600</v>
      </c>
      <c r="U25">
        <f>RTD("rtdtrading.rtdserver",, "BBAS3_B_0", "VOV")</f>
        <v>6300</v>
      </c>
      <c r="V25">
        <f>RTD("rtdtrading.rtdserver",, "BBAS3_B_0", "AJU")</f>
        <v>0</v>
      </c>
      <c r="W25">
        <f>RTD("rtdtrading.rtdserver",, "BBAS3_B_0", "AJA")</f>
        <v>0</v>
      </c>
      <c r="X25">
        <f>RTD("rtdtrading.rtdserver",, "BBAS3_B_0", "PRT")</f>
        <v>0</v>
      </c>
      <c r="Y25">
        <f>RTD("rtdtrading.rtdserver",, "BBAS3_B_0", "QTE")</f>
        <v>0</v>
      </c>
      <c r="Z25">
        <f>RTD("rtdtrading.rtdserver",, "BBAS3_B_0", "VPJ")</f>
        <v>852133359.21707046</v>
      </c>
      <c r="AA25">
        <f>RTD("rtdtrading.rtdserver",, "BBAS3_B_0", "SEM")</f>
        <v>-3.4747474747474723</v>
      </c>
      <c r="AB25">
        <f>RTD("rtdtrading.rtdserver",, "BBAS3_B_0", "MES")</f>
        <v>-11.157885341980778</v>
      </c>
      <c r="AC25">
        <f>RTD("rtdtrading.rtdserver",, "BBAS3_B_0", "3M")</f>
        <v>11.784908803354011</v>
      </c>
      <c r="AD25">
        <f>RTD("rtdtrading.rtdserver",, "BBAS3_B_0", "6M")</f>
        <v>9.001647115722422</v>
      </c>
      <c r="AE25">
        <f>RTD("rtdtrading.rtdserver",, "BBAS3_B_0", "12M")</f>
        <v>-9.0511087846197817</v>
      </c>
      <c r="AF25">
        <f>RTD("rtdtrading.rtdserver",, "BBAS3_B_0", "ANO")</f>
        <v>9.9999079113370399</v>
      </c>
      <c r="AG25">
        <f>RTD("rtdtrading.rtdserver",, "BBAS3_B_0", "TRIM")</f>
        <v>9.9999079113370399</v>
      </c>
      <c r="AH25">
        <f>RTD("rtdtrading.rtdserver",, "BBAS3_B_0", "SEMES")</f>
        <v>9.9999079113370399</v>
      </c>
      <c r="AI25" t="str">
        <f>RTD("rtdtrading.rtdserver",, "BBAS3_B_0", "VEN")</f>
        <v>-</v>
      </c>
      <c r="AJ25" t="str">
        <f>RTD("rtdtrading.rtdserver",, "BBAS3_B_0", "VAL")</f>
        <v>31/12/9999</v>
      </c>
      <c r="AK25">
        <f>RTD("rtdtrading.rtdserver",, "BBAS3_B_0", "CAB")</f>
        <v>0</v>
      </c>
      <c r="AL25" t="str">
        <f>RTD("rtdtrading.rtdserver",, "BBAS3_B_0", "EST")</f>
        <v>Aberto</v>
      </c>
      <c r="AM25" t="str">
        <f>RTD("rtdtrading.rtdserver",, "BBAS3_B_0", "BLACK")</f>
        <v>-</v>
      </c>
      <c r="AN25" t="str">
        <f>RTD("rtdtrading.rtdserver",, "BBAS3_B_0", "IMPVT")</f>
        <v>-</v>
      </c>
      <c r="AO25" t="str">
        <f>RTD("rtdtrading.rtdserver",, "BBAS3_B_0", "DELTA")</f>
        <v>-</v>
      </c>
      <c r="AP25" t="str">
        <f>RTD("rtdtrading.rtdserver",, "BBAS3_B_0", "GAMA")</f>
        <v>-</v>
      </c>
      <c r="AQ25" t="str">
        <f>RTD("rtdtrading.rtdserver",, "BBAS3_B_0", "THETA")</f>
        <v>-</v>
      </c>
      <c r="AR25" t="str">
        <f>RTD("rtdtrading.rtdserver",, "BBAS3_B_0", "RHO")</f>
        <v>-</v>
      </c>
      <c r="AS25" t="str">
        <f>RTD("rtdtrading.rtdserver",, "BBAS3_B_0", "VEGA")</f>
        <v>-</v>
      </c>
      <c r="AT25" t="str">
        <f>RTD("rtdtrading.rtdserver",, "BBAS3_B_0", "VIA")</f>
        <v>-</v>
      </c>
      <c r="AU25" t="str">
        <f>RTD("rtdtrading.rtdserver",, "BBAS3_B_0", "VIB")</f>
        <v>-</v>
      </c>
      <c r="AV25" t="str">
        <f>RTD("rtdtrading.rtdserver",, "BBAS3_B_0", "DOBRAR")</f>
        <v>-</v>
      </c>
      <c r="AW25" t="str">
        <f>RTD("rtdtrading.rtdserver",, "BBAS3_B_0", "VIVH")</f>
        <v>-</v>
      </c>
      <c r="AX25" t="str">
        <f>RTD("rtdtrading.rtdserver",, "BBAS3_B_0", "VINT")</f>
        <v>-</v>
      </c>
      <c r="AY25" t="str">
        <f>RTD("rtdtrading.rtdserver",, "BBAS3_B_0", "VEXT")</f>
        <v>-</v>
      </c>
      <c r="AZ25" t="str">
        <f>RTD("rtdtrading.rtdserver",, "BBAS3_B_0", "101_psicotrade")</f>
        <v>0,00 0,00</v>
      </c>
      <c r="BA25" t="str">
        <f>RTD("rtdtrading.rtdserver",, "BBAS3_B_0", "67")</f>
        <v>24,15</v>
      </c>
    </row>
    <row r="26" spans="1:53" x14ac:dyDescent="0.35">
      <c r="A26" t="s">
        <v>83</v>
      </c>
      <c r="B26" t="str">
        <f>RTD("rtdtrading.rtdserver",, "VALE3_B_0", "DAT")</f>
        <v>13/03/2026</v>
      </c>
      <c r="C26" t="str">
        <f>RTD("rtdtrading.rtdserver",, "VALE3_B_0", "HOR")</f>
        <v>15:11:30</v>
      </c>
      <c r="D26">
        <f>RTD("rtdtrading.rtdserver",, "VALE3_B_0", "ULT")</f>
        <v>78.709999999999994</v>
      </c>
      <c r="E26">
        <f>RTD("rtdtrading.rtdserver",, "VALE3_B_0", "ABE")</f>
        <v>79.3</v>
      </c>
      <c r="F26">
        <f>RTD("rtdtrading.rtdserver",, "VALE3_B_0", "MAX")</f>
        <v>80.489999999999995</v>
      </c>
      <c r="G26">
        <f>RTD("rtdtrading.rtdserver",, "VALE3_B_0", "MIN")</f>
        <v>78.45</v>
      </c>
      <c r="H26">
        <f>RTD("rtdtrading.rtdserver",, "VALE3_B_0", "FEC")</f>
        <v>79.240000000000009</v>
      </c>
      <c r="I26">
        <f>RTD("rtdtrading.rtdserver",, "VALE3_B_0", "PEX")</f>
        <v>0</v>
      </c>
      <c r="J26">
        <f>RTD("rtdtrading.rtdserver",, "VALE3_B_0", "VAR")</f>
        <v>-0.66885411408381534</v>
      </c>
      <c r="K26">
        <f>RTD("rtdtrading.rtdserver",, "VALE3_B_0", "VARPTS")</f>
        <v>-0.53000000000001535</v>
      </c>
      <c r="L26">
        <f>RTD("rtdtrading.rtdserver",, "VALE3_B_0", "MED")</f>
        <v>79.054610222865662</v>
      </c>
      <c r="M26" t="s">
        <v>84</v>
      </c>
      <c r="N26">
        <f>RTD("rtdtrading.rtdserver",, "VALE3_B_0", "NEG")</f>
        <v>27351</v>
      </c>
      <c r="O26">
        <f>RTD("rtdtrading.rtdserver",, "VALE3_B_0", "QUL")</f>
        <v>100</v>
      </c>
      <c r="P26">
        <f>RTD("rtdtrading.rtdserver",, "VALE3_B_0", "QTT")</f>
        <v>9463100</v>
      </c>
      <c r="Q26">
        <f>RTD("rtdtrading.rtdserver",, "VALE3_B_0", "VOL")</f>
        <v>748101682</v>
      </c>
      <c r="R26">
        <f>RTD("rtdtrading.rtdserver",, "VALE3_B_0", "OCP")</f>
        <v>78.710000000000008</v>
      </c>
      <c r="S26">
        <f>RTD("rtdtrading.rtdserver",, "VALE3_B_0", "OVD")</f>
        <v>78.73</v>
      </c>
      <c r="T26">
        <f>RTD("rtdtrading.rtdserver",, "VALE3_B_0", "VOC")</f>
        <v>600</v>
      </c>
      <c r="U26">
        <f>RTD("rtdtrading.rtdserver",, "VALE3_B_0", "VOV")</f>
        <v>500</v>
      </c>
      <c r="V26">
        <f>RTD("rtdtrading.rtdserver",, "VALE3_B_0", "AJU")</f>
        <v>0</v>
      </c>
      <c r="W26">
        <f>RTD("rtdtrading.rtdserver",, "VALE3_B_0", "AJA")</f>
        <v>0</v>
      </c>
      <c r="X26">
        <f>RTD("rtdtrading.rtdserver",, "VALE3_B_0", "PRT")</f>
        <v>0</v>
      </c>
      <c r="Y26">
        <f>RTD("rtdtrading.rtdserver",, "VALE3_B_0", "QTE")</f>
        <v>0</v>
      </c>
      <c r="Z26">
        <f>RTD("rtdtrading.rtdserver",, "VALE3_B_0", "VPJ")</f>
        <v>864579793.00160515</v>
      </c>
      <c r="AA26">
        <f>RTD("rtdtrading.rtdserver",, "VALE3_B_0", "SEM")</f>
        <v>-0.19021049961958622</v>
      </c>
      <c r="AB26">
        <f>RTD("rtdtrading.rtdserver",, "VALE3_B_0", "MES")</f>
        <v>-11.031988244602696</v>
      </c>
      <c r="AC26">
        <f>RTD("rtdtrading.rtdserver",, "VALE3_B_0", "3M")</f>
        <v>14.64786311589906</v>
      </c>
      <c r="AD26">
        <f>RTD("rtdtrading.rtdserver",, "VALE3_B_0", "6M")</f>
        <v>44.767601191100212</v>
      </c>
      <c r="AE26">
        <f>RTD("rtdtrading.rtdserver",, "VALE3_B_0", "12M")</f>
        <v>58.102052253421242</v>
      </c>
      <c r="AF26">
        <f>RTD("rtdtrading.rtdserver",, "VALE3_B_0", "ANO")</f>
        <v>9.3802112284602348</v>
      </c>
      <c r="AG26">
        <f>RTD("rtdtrading.rtdserver",, "VALE3_B_0", "TRIM")</f>
        <v>9.3802112284602348</v>
      </c>
      <c r="AH26">
        <f>RTD("rtdtrading.rtdserver",, "VALE3_B_0", "SEMES")</f>
        <v>9.3802112284602348</v>
      </c>
      <c r="AI26" t="str">
        <f>RTD("rtdtrading.rtdserver",, "VALE3_B_0", "VEN")</f>
        <v>-</v>
      </c>
      <c r="AJ26" t="str">
        <f>RTD("rtdtrading.rtdserver",, "VALE3_B_0", "VAL")</f>
        <v>31/12/9999</v>
      </c>
      <c r="AK26">
        <f>RTD("rtdtrading.rtdserver",, "VALE3_B_0", "CAB")</f>
        <v>0</v>
      </c>
      <c r="AL26" t="str">
        <f>RTD("rtdtrading.rtdserver",, "VALE3_B_0", "EST")</f>
        <v>Aberto</v>
      </c>
      <c r="AM26" t="str">
        <f>RTD("rtdtrading.rtdserver",, "VALE3_B_0", "BLACK")</f>
        <v>-</v>
      </c>
      <c r="AN26" t="str">
        <f>RTD("rtdtrading.rtdserver",, "VALE3_B_0", "IMPVT")</f>
        <v>-</v>
      </c>
      <c r="AO26" t="str">
        <f>RTD("rtdtrading.rtdserver",, "VALE3_B_0", "DELTA")</f>
        <v>-</v>
      </c>
      <c r="AP26" t="str">
        <f>RTD("rtdtrading.rtdserver",, "VALE3_B_0", "GAMA")</f>
        <v>-</v>
      </c>
      <c r="AQ26" t="str">
        <f>RTD("rtdtrading.rtdserver",, "VALE3_B_0", "THETA")</f>
        <v>-</v>
      </c>
      <c r="AR26" t="str">
        <f>RTD("rtdtrading.rtdserver",, "VALE3_B_0", "RHO")</f>
        <v>-</v>
      </c>
      <c r="AS26" t="str">
        <f>RTD("rtdtrading.rtdserver",, "VALE3_B_0", "VEGA")</f>
        <v>-</v>
      </c>
      <c r="AT26" t="str">
        <f>RTD("rtdtrading.rtdserver",, "VALE3_B_0", "VIA")</f>
        <v>-</v>
      </c>
      <c r="AU26" t="str">
        <f>RTD("rtdtrading.rtdserver",, "VALE3_B_0", "VIB")</f>
        <v>-</v>
      </c>
      <c r="AV26" t="str">
        <f>RTD("rtdtrading.rtdserver",, "VALE3_B_0", "DOBRAR")</f>
        <v>-</v>
      </c>
      <c r="AW26" t="str">
        <f>RTD("rtdtrading.rtdserver",, "VALE3_B_0", "VIVH")</f>
        <v>-</v>
      </c>
      <c r="AX26" t="str">
        <f>RTD("rtdtrading.rtdserver",, "VALE3_B_0", "VINT")</f>
        <v>-</v>
      </c>
      <c r="AY26" t="str">
        <f>RTD("rtdtrading.rtdserver",, "VALE3_B_0", "VEXT")</f>
        <v>-</v>
      </c>
      <c r="AZ26" t="str">
        <f>RTD("rtdtrading.rtdserver",, "VALE3_B_0", "101_psicotrade")</f>
        <v>0,00 0,00</v>
      </c>
      <c r="BA26" t="str">
        <f>RTD("rtdtrading.rtdserver",, "VALE3_B_0", "67")</f>
        <v>79,05</v>
      </c>
    </row>
    <row r="27" spans="1:53" x14ac:dyDescent="0.35">
      <c r="A27" t="s">
        <v>85</v>
      </c>
      <c r="B27" t="str">
        <f>RTD("rtdtrading.rtdserver",, "MGLU3_B_0", "DAT")</f>
        <v>13/03/2026</v>
      </c>
      <c r="C27" t="str">
        <f>RTD("rtdtrading.rtdserver",, "MGLU3_B_0", "HOR")</f>
        <v>15:11:39</v>
      </c>
      <c r="D27">
        <f>RTD("rtdtrading.rtdserver",, "MGLU3_B_0", "ULT")</f>
        <v>9.26</v>
      </c>
      <c r="E27">
        <f>RTD("rtdtrading.rtdserver",, "MGLU3_B_0", "ABE")</f>
        <v>9.5</v>
      </c>
      <c r="F27">
        <f>RTD("rtdtrading.rtdserver",, "MGLU3_B_0", "MAX")</f>
        <v>10.33</v>
      </c>
      <c r="G27">
        <f>RTD("rtdtrading.rtdserver",, "MGLU3_B_0", "MIN")</f>
        <v>9.15</v>
      </c>
      <c r="H27">
        <f>RTD("rtdtrading.rtdserver",, "MGLU3_B_0", "FEC")</f>
        <v>9.4</v>
      </c>
      <c r="I27">
        <f>RTD("rtdtrading.rtdserver",, "MGLU3_B_0", "PEX")</f>
        <v>0</v>
      </c>
      <c r="J27">
        <f>RTD("rtdtrading.rtdserver",, "MGLU3_B_0", "VAR")</f>
        <v>-1.4893617021276655</v>
      </c>
      <c r="K27">
        <f>RTD("rtdtrading.rtdserver",, "MGLU3_B_0", "VARPTS")</f>
        <v>-0.14000000000000057</v>
      </c>
      <c r="L27">
        <f>RTD("rtdtrading.rtdserver",, "MGLU3_B_0", "MED")</f>
        <v>9.9223152734530942</v>
      </c>
      <c r="M27" t="s">
        <v>86</v>
      </c>
      <c r="N27">
        <f>RTD("rtdtrading.rtdserver",, "MGLU3_B_0", "NEG")</f>
        <v>25468</v>
      </c>
      <c r="O27">
        <f>RTD("rtdtrading.rtdserver",, "MGLU3_B_0", "QUL")</f>
        <v>100</v>
      </c>
      <c r="P27">
        <f>RTD("rtdtrading.rtdserver",, "MGLU3_B_0", "QTT")</f>
        <v>31312500</v>
      </c>
      <c r="Q27">
        <f>RTD("rtdtrading.rtdserver",, "MGLU3_B_0", "VOL")</f>
        <v>310692497</v>
      </c>
      <c r="R27">
        <f>RTD("rtdtrading.rtdserver",, "MGLU3_B_0", "OCP")</f>
        <v>9.26</v>
      </c>
      <c r="S27">
        <f>RTD("rtdtrading.rtdserver",, "MGLU3_B_0", "OVD")</f>
        <v>9.2799999999999994</v>
      </c>
      <c r="T27">
        <f>RTD("rtdtrading.rtdserver",, "MGLU3_B_0", "VOC")</f>
        <v>6100</v>
      </c>
      <c r="U27">
        <f>RTD("rtdtrading.rtdserver",, "MGLU3_B_0", "VOV")</f>
        <v>10400</v>
      </c>
      <c r="V27">
        <f>RTD("rtdtrading.rtdserver",, "MGLU3_B_0", "AJU")</f>
        <v>0</v>
      </c>
      <c r="W27">
        <f>RTD("rtdtrading.rtdserver",, "MGLU3_B_0", "AJA")</f>
        <v>0</v>
      </c>
      <c r="X27">
        <f>RTD("rtdtrading.rtdserver",, "MGLU3_B_0", "PRT")</f>
        <v>0</v>
      </c>
      <c r="Y27">
        <f>RTD("rtdtrading.rtdserver",, "MGLU3_B_0", "QTE")</f>
        <v>0</v>
      </c>
      <c r="Z27">
        <f>RTD("rtdtrading.rtdserver",, "MGLU3_B_0", "VPJ")</f>
        <v>358893948.08278519</v>
      </c>
      <c r="AA27">
        <f>RTD("rtdtrading.rtdserver",, "MGLU3_B_0", "SEM")</f>
        <v>-0.75026795284030312</v>
      </c>
      <c r="AB27">
        <f>RTD("rtdtrading.rtdserver",, "MGLU3_B_0", "MES")</f>
        <v>-0.96256684491978461</v>
      </c>
      <c r="AC27">
        <f>RTD("rtdtrading.rtdserver",, "MGLU3_B_0", "3M")</f>
        <v>1.4927990530261377</v>
      </c>
      <c r="AD27">
        <f>RTD("rtdtrading.rtdserver",, "MGLU3_B_0", "6M")</f>
        <v>-2.7699027699027678</v>
      </c>
      <c r="AE27">
        <f>RTD("rtdtrading.rtdserver",, "MGLU3_B_0", "12M")</f>
        <v>16.733479565337959</v>
      </c>
      <c r="AF27">
        <f>RTD("rtdtrading.rtdserver",, "MGLU3_B_0", "ANO")</f>
        <v>3.5794183445189982</v>
      </c>
      <c r="AG27">
        <f>RTD("rtdtrading.rtdserver",, "MGLU3_B_0", "TRIM")</f>
        <v>3.5794183445189982</v>
      </c>
      <c r="AH27">
        <f>RTD("rtdtrading.rtdserver",, "MGLU3_B_0", "SEMES")</f>
        <v>3.5794183445189982</v>
      </c>
      <c r="AI27" t="str">
        <f>RTD("rtdtrading.rtdserver",, "MGLU3_B_0", "VEN")</f>
        <v>-</v>
      </c>
      <c r="AJ27" t="str">
        <f>RTD("rtdtrading.rtdserver",, "MGLU3_B_0", "VAL")</f>
        <v>31/12/9999</v>
      </c>
      <c r="AK27">
        <f>RTD("rtdtrading.rtdserver",, "MGLU3_B_0", "CAB")</f>
        <v>0</v>
      </c>
      <c r="AL27" t="str">
        <f>RTD("rtdtrading.rtdserver",, "MGLU3_B_0", "EST")</f>
        <v>Aberto</v>
      </c>
      <c r="AM27" t="str">
        <f>RTD("rtdtrading.rtdserver",, "MGLU3_B_0", "BLACK")</f>
        <v>-</v>
      </c>
      <c r="AN27" t="str">
        <f>RTD("rtdtrading.rtdserver",, "MGLU3_B_0", "IMPVT")</f>
        <v>-</v>
      </c>
      <c r="AO27" t="str">
        <f>RTD("rtdtrading.rtdserver",, "MGLU3_B_0", "DELTA")</f>
        <v>-</v>
      </c>
      <c r="AP27" t="str">
        <f>RTD("rtdtrading.rtdserver",, "MGLU3_B_0", "GAMA")</f>
        <v>-</v>
      </c>
      <c r="AQ27" t="str">
        <f>RTD("rtdtrading.rtdserver",, "MGLU3_B_0", "THETA")</f>
        <v>-</v>
      </c>
      <c r="AR27" t="str">
        <f>RTD("rtdtrading.rtdserver",, "MGLU3_B_0", "RHO")</f>
        <v>-</v>
      </c>
      <c r="AS27" t="str">
        <f>RTD("rtdtrading.rtdserver",, "MGLU3_B_0", "VEGA")</f>
        <v>-</v>
      </c>
      <c r="AT27" t="str">
        <f>RTD("rtdtrading.rtdserver",, "MGLU3_B_0", "VIA")</f>
        <v>-</v>
      </c>
      <c r="AU27" t="str">
        <f>RTD("rtdtrading.rtdserver",, "MGLU3_B_0", "VIB")</f>
        <v>-</v>
      </c>
      <c r="AV27" t="str">
        <f>RTD("rtdtrading.rtdserver",, "MGLU3_B_0", "DOBRAR")</f>
        <v>-</v>
      </c>
      <c r="AW27" t="str">
        <f>RTD("rtdtrading.rtdserver",, "MGLU3_B_0", "VIVH")</f>
        <v>-</v>
      </c>
      <c r="AX27" t="str">
        <f>RTD("rtdtrading.rtdserver",, "MGLU3_B_0", "VINT")</f>
        <v>-</v>
      </c>
      <c r="AY27" t="str">
        <f>RTD("rtdtrading.rtdserver",, "MGLU3_B_0", "VEXT")</f>
        <v>-</v>
      </c>
      <c r="AZ27" t="str">
        <f>RTD("rtdtrading.rtdserver",, "MGLU3_B_0", "101_psicotrade")</f>
        <v>0,00 0,00</v>
      </c>
      <c r="BA27" t="str">
        <f>RTD("rtdtrading.rtdserver",, "MGLU3_B_0", "67")</f>
        <v>9,92</v>
      </c>
    </row>
    <row r="28" spans="1:53" x14ac:dyDescent="0.35">
      <c r="A28" t="s">
        <v>87</v>
      </c>
      <c r="B28" t="str">
        <f>RTD("rtdtrading.rtdserver",, "ITUB4_B_0", "DAT")</f>
        <v>13/03/2026</v>
      </c>
      <c r="C28" t="str">
        <f>RTD("rtdtrading.rtdserver",, "ITUB4_B_0", "HOR")</f>
        <v>15:11:37</v>
      </c>
      <c r="D28">
        <f>RTD("rtdtrading.rtdserver",, "ITUB4_B_0", "ULT")</f>
        <v>42.49</v>
      </c>
      <c r="E28">
        <f>RTD("rtdtrading.rtdserver",, "ITUB4_B_0", "ABE")</f>
        <v>42.83</v>
      </c>
      <c r="F28">
        <f>RTD("rtdtrading.rtdserver",, "ITUB4_B_0", "MAX")</f>
        <v>43.35</v>
      </c>
      <c r="G28">
        <f>RTD("rtdtrading.rtdserver",, "ITUB4_B_0", "MIN")</f>
        <v>42.33</v>
      </c>
      <c r="H28">
        <f>RTD("rtdtrading.rtdserver",, "ITUB4_B_0", "FEC")</f>
        <v>42.690000000000005</v>
      </c>
      <c r="I28">
        <f>RTD("rtdtrading.rtdserver",, "ITUB4_B_0", "PEX")</f>
        <v>0</v>
      </c>
      <c r="J28">
        <f>RTD("rtdtrading.rtdserver",, "ITUB4_B_0", "VAR")</f>
        <v>-0.46849379245725653</v>
      </c>
      <c r="K28">
        <f>RTD("rtdtrading.rtdserver",, "ITUB4_B_0", "VARPTS")</f>
        <v>-0.20000000000000284</v>
      </c>
      <c r="L28">
        <f>RTD("rtdtrading.rtdserver",, "ITUB4_B_0", "MED")</f>
        <v>42.791355096387484</v>
      </c>
      <c r="M28" t="s">
        <v>116</v>
      </c>
      <c r="N28">
        <f>RTD("rtdtrading.rtdserver",, "ITUB4_B_0", "NEG")</f>
        <v>20334</v>
      </c>
      <c r="O28">
        <f>RTD("rtdtrading.rtdserver",, "ITUB4_B_0", "QUL")</f>
        <v>100</v>
      </c>
      <c r="P28">
        <f>RTD("rtdtrading.rtdserver",, "ITUB4_B_0", "QTT")</f>
        <v>16750100</v>
      </c>
      <c r="Q28">
        <f>RTD("rtdtrading.rtdserver",, "ITUB4_B_0", "VOL")</f>
        <v>716759477</v>
      </c>
      <c r="R28">
        <f>RTD("rtdtrading.rtdserver",, "ITUB4_B_0", "OCP")</f>
        <v>42.49</v>
      </c>
      <c r="S28">
        <f>RTD("rtdtrading.rtdserver",, "ITUB4_B_0", "OVD")</f>
        <v>42.5</v>
      </c>
      <c r="T28">
        <f>RTD("rtdtrading.rtdserver",, "ITUB4_B_0", "VOC")</f>
        <v>200</v>
      </c>
      <c r="U28">
        <f>RTD("rtdtrading.rtdserver",, "ITUB4_B_0", "VOV")</f>
        <v>6100</v>
      </c>
      <c r="V28">
        <f>RTD("rtdtrading.rtdserver",, "ITUB4_B_0", "AJU")</f>
        <v>0</v>
      </c>
      <c r="W28">
        <f>RTD("rtdtrading.rtdserver",, "ITUB4_B_0", "AJA")</f>
        <v>0</v>
      </c>
      <c r="X28">
        <f>RTD("rtdtrading.rtdserver",, "ITUB4_B_0", "PRT")</f>
        <v>0</v>
      </c>
      <c r="Y28">
        <f>RTD("rtdtrading.rtdserver",, "ITUB4_B_0", "QTE")</f>
        <v>0</v>
      </c>
      <c r="Z28">
        <f>RTD("rtdtrading.rtdserver",, "ITUB4_B_0", "VPJ")</f>
        <v>828047531.86072624</v>
      </c>
      <c r="AA28">
        <f>RTD("rtdtrading.rtdserver",, "ITUB4_B_0", "SEM")</f>
        <v>-1.0249242953645417</v>
      </c>
      <c r="AB28">
        <f>RTD("rtdtrading.rtdserver",, "ITUB4_B_0", "MES")</f>
        <v>-9.1404804926814194</v>
      </c>
      <c r="AC28">
        <f>RTD("rtdtrading.rtdserver",, "ITUB4_B_0", "3M")</f>
        <v>11.166634835002959</v>
      </c>
      <c r="AD28">
        <f>RTD("rtdtrading.rtdserver",, "ITUB4_B_0", "6M")</f>
        <v>22.010050251256278</v>
      </c>
      <c r="AE28">
        <f>RTD("rtdtrading.rtdserver",, "ITUB4_B_0", "12M")</f>
        <v>58.67858716678991</v>
      </c>
      <c r="AF28">
        <f>RTD("rtdtrading.rtdserver",, "ITUB4_B_0", "ANO")</f>
        <v>8.4241120527090647</v>
      </c>
      <c r="AG28">
        <f>RTD("rtdtrading.rtdserver",, "ITUB4_B_0", "TRIM")</f>
        <v>8.4241120527090647</v>
      </c>
      <c r="AH28">
        <f>RTD("rtdtrading.rtdserver",, "ITUB4_B_0", "SEMES")</f>
        <v>8.4241120527090647</v>
      </c>
      <c r="AI28" t="str">
        <f>RTD("rtdtrading.rtdserver",, "ITUB4_B_0", "VEN")</f>
        <v>-</v>
      </c>
      <c r="AJ28" t="str">
        <f>RTD("rtdtrading.rtdserver",, "ITUB4_B_0", "VAL")</f>
        <v>31/12/9999</v>
      </c>
      <c r="AK28">
        <f>RTD("rtdtrading.rtdserver",, "ITUB4_B_0", "CAB")</f>
        <v>0</v>
      </c>
      <c r="AL28" t="str">
        <f>RTD("rtdtrading.rtdserver",, "ITUB4_B_0", "EST")</f>
        <v>Aberto</v>
      </c>
      <c r="AM28" t="str">
        <f>RTD("rtdtrading.rtdserver",, "ITUB4_B_0", "BLACK")</f>
        <v>-</v>
      </c>
      <c r="AN28" t="str">
        <f>RTD("rtdtrading.rtdserver",, "ITUB4_B_0", "IMPVT")</f>
        <v>-</v>
      </c>
      <c r="AO28" t="str">
        <f>RTD("rtdtrading.rtdserver",, "ITUB4_B_0", "DELTA")</f>
        <v>-</v>
      </c>
      <c r="AP28" t="str">
        <f>RTD("rtdtrading.rtdserver",, "ITUB4_B_0", "GAMA")</f>
        <v>-</v>
      </c>
      <c r="AQ28" t="str">
        <f>RTD("rtdtrading.rtdserver",, "ITUB4_B_0", "THETA")</f>
        <v>-</v>
      </c>
      <c r="AR28" t="str">
        <f>RTD("rtdtrading.rtdserver",, "ITUB4_B_0", "RHO")</f>
        <v>-</v>
      </c>
      <c r="AS28" t="str">
        <f>RTD("rtdtrading.rtdserver",, "ITUB4_B_0", "VEGA")</f>
        <v>-</v>
      </c>
      <c r="AT28" t="str">
        <f>RTD("rtdtrading.rtdserver",, "ITUB4_B_0", "VIA")</f>
        <v>-</v>
      </c>
      <c r="AU28" t="str">
        <f>RTD("rtdtrading.rtdserver",, "ITUB4_B_0", "VIB")</f>
        <v>-</v>
      </c>
      <c r="AV28" t="str">
        <f>RTD("rtdtrading.rtdserver",, "ITUB4_B_0", "DOBRAR")</f>
        <v>-</v>
      </c>
      <c r="AW28" t="str">
        <f>RTD("rtdtrading.rtdserver",, "ITUB4_B_0", "VIVH")</f>
        <v>-</v>
      </c>
      <c r="AX28" t="str">
        <f>RTD("rtdtrading.rtdserver",, "ITUB4_B_0", "VINT")</f>
        <v>-</v>
      </c>
      <c r="AY28" t="str">
        <f>RTD("rtdtrading.rtdserver",, "ITUB4_B_0", "VEXT")</f>
        <v>-</v>
      </c>
      <c r="AZ28" t="str">
        <f>RTD("rtdtrading.rtdserver",, "ITUB4_B_0", "101_psicotrade")</f>
        <v>0,00 0,00</v>
      </c>
      <c r="BA28" t="str">
        <f>RTD("rtdtrading.rtdserver",, "ITUB4_B_0", "67")</f>
        <v>42,79</v>
      </c>
    </row>
    <row r="29" spans="1:53" x14ac:dyDescent="0.35">
      <c r="A29" t="s">
        <v>88</v>
      </c>
      <c r="B29" t="str">
        <f>RTD("rtdtrading.rtdserver",, "SUZB3_B_0", "DAT")</f>
        <v>13/03/2026</v>
      </c>
      <c r="C29" t="str">
        <f>RTD("rtdtrading.rtdserver",, "SUZB3_B_0", "HOR")</f>
        <v>15:11:37</v>
      </c>
      <c r="D29">
        <f>RTD("rtdtrading.rtdserver",, "SUZB3_B_0", "ULT")</f>
        <v>53.26</v>
      </c>
      <c r="E29">
        <f>RTD("rtdtrading.rtdserver",, "SUZB3_B_0", "ABE")</f>
        <v>53.42</v>
      </c>
      <c r="F29">
        <f>RTD("rtdtrading.rtdserver",, "SUZB3_B_0", "MAX")</f>
        <v>53.77</v>
      </c>
      <c r="G29">
        <f>RTD("rtdtrading.rtdserver",, "SUZB3_B_0", "MIN")</f>
        <v>53.09</v>
      </c>
      <c r="H29">
        <f>RTD("rtdtrading.rtdserver",, "SUZB3_B_0", "FEC")</f>
        <v>53.470000000000006</v>
      </c>
      <c r="I29">
        <f>RTD("rtdtrading.rtdserver",, "SUZB3_B_0", "PEX")</f>
        <v>0</v>
      </c>
      <c r="J29">
        <f>RTD("rtdtrading.rtdserver",, "SUZB3_B_0", "VAR")</f>
        <v>-0.39274359453900864</v>
      </c>
      <c r="K29">
        <f>RTD("rtdtrading.rtdserver",, "SUZB3_B_0", "VARPTS")</f>
        <v>-0.21000000000000796</v>
      </c>
      <c r="L29">
        <f>RTD("rtdtrading.rtdserver",, "SUZB3_B_0", "MED")</f>
        <v>53.379592078655605</v>
      </c>
      <c r="M29" t="s">
        <v>89</v>
      </c>
      <c r="N29">
        <f>RTD("rtdtrading.rtdserver",, "SUZB3_B_0", "NEG")</f>
        <v>8682</v>
      </c>
      <c r="O29">
        <f>RTD("rtdtrading.rtdserver",, "SUZB3_B_0", "QUL")</f>
        <v>100</v>
      </c>
      <c r="P29">
        <f>RTD("rtdtrading.rtdserver",, "SUZB3_B_0", "QTT")</f>
        <v>1434100</v>
      </c>
      <c r="Q29">
        <f>RTD("rtdtrading.rtdserver",, "SUZB3_B_0", "VOL")</f>
        <v>76551673</v>
      </c>
      <c r="R29">
        <f>RTD("rtdtrading.rtdserver",, "SUZB3_B_0", "OCP")</f>
        <v>53.25</v>
      </c>
      <c r="S29">
        <f>RTD("rtdtrading.rtdserver",, "SUZB3_B_0", "OVD")</f>
        <v>53.27</v>
      </c>
      <c r="T29">
        <f>RTD("rtdtrading.rtdserver",, "SUZB3_B_0", "VOC")</f>
        <v>3900</v>
      </c>
      <c r="U29">
        <f>RTD("rtdtrading.rtdserver",, "SUZB3_B_0", "VOV")</f>
        <v>600</v>
      </c>
      <c r="V29">
        <f>RTD("rtdtrading.rtdserver",, "SUZB3_B_0", "AJU")</f>
        <v>0</v>
      </c>
      <c r="W29">
        <f>RTD("rtdtrading.rtdserver",, "SUZB3_B_0", "AJA")</f>
        <v>0</v>
      </c>
      <c r="X29">
        <f>RTD("rtdtrading.rtdserver",, "SUZB3_B_0", "PRT")</f>
        <v>0</v>
      </c>
      <c r="Y29">
        <f>RTD("rtdtrading.rtdserver",, "SUZB3_B_0", "QTE")</f>
        <v>0</v>
      </c>
      <c r="Z29">
        <f>RTD("rtdtrading.rtdserver",, "SUZB3_B_0", "VPJ")</f>
        <v>88437510.659464076</v>
      </c>
      <c r="AA29">
        <f>RTD("rtdtrading.rtdserver",, "SUZB3_B_0", "SEM")</f>
        <v>-3.0225782957028469</v>
      </c>
      <c r="AB29">
        <f>RTD("rtdtrading.rtdserver",, "SUZB3_B_0", "MES")</f>
        <v>-8.172413793103452</v>
      </c>
      <c r="AC29">
        <f>RTD("rtdtrading.rtdserver",, "SUZB3_B_0", "3M")</f>
        <v>9.993824980535253</v>
      </c>
      <c r="AD29">
        <f>RTD("rtdtrading.rtdserver",, "SUZB3_B_0", "6M")</f>
        <v>5.555852840157983</v>
      </c>
      <c r="AE29">
        <f>RTD("rtdtrading.rtdserver",, "SUZB3_B_0", "12M")</f>
        <v>-0.61374650347367532</v>
      </c>
      <c r="AF29">
        <f>RTD("rtdtrading.rtdserver",, "SUZB3_B_0", "ANO")</f>
        <v>3.5179786200194267</v>
      </c>
      <c r="AG29">
        <f>RTD("rtdtrading.rtdserver",, "SUZB3_B_0", "TRIM")</f>
        <v>3.5179786200194267</v>
      </c>
      <c r="AH29">
        <f>RTD("rtdtrading.rtdserver",, "SUZB3_B_0", "SEMES")</f>
        <v>3.5179786200194267</v>
      </c>
      <c r="AI29" t="str">
        <f>RTD("rtdtrading.rtdserver",, "SUZB3_B_0", "VEN")</f>
        <v>-</v>
      </c>
      <c r="AJ29" t="str">
        <f>RTD("rtdtrading.rtdserver",, "SUZB3_B_0", "VAL")</f>
        <v>31/12/9999</v>
      </c>
      <c r="AK29">
        <f>RTD("rtdtrading.rtdserver",, "SUZB3_B_0", "CAB")</f>
        <v>0</v>
      </c>
      <c r="AL29" t="str">
        <f>RTD("rtdtrading.rtdserver",, "SUZB3_B_0", "EST")</f>
        <v>Aberto</v>
      </c>
      <c r="AM29" t="str">
        <f>RTD("rtdtrading.rtdserver",, "SUZB3_B_0", "BLACK")</f>
        <v>-</v>
      </c>
      <c r="AN29" t="str">
        <f>RTD("rtdtrading.rtdserver",, "SUZB3_B_0", "IMPVT")</f>
        <v>-</v>
      </c>
      <c r="AO29" t="str">
        <f>RTD("rtdtrading.rtdserver",, "SUZB3_B_0", "DELTA")</f>
        <v>-</v>
      </c>
      <c r="AP29" t="str">
        <f>RTD("rtdtrading.rtdserver",, "SUZB3_B_0", "GAMA")</f>
        <v>-</v>
      </c>
      <c r="AQ29" t="str">
        <f>RTD("rtdtrading.rtdserver",, "SUZB3_B_0", "THETA")</f>
        <v>-</v>
      </c>
      <c r="AR29" t="str">
        <f>RTD("rtdtrading.rtdserver",, "SUZB3_B_0", "RHO")</f>
        <v>-</v>
      </c>
      <c r="AS29" t="str">
        <f>RTD("rtdtrading.rtdserver",, "SUZB3_B_0", "VEGA")</f>
        <v>-</v>
      </c>
      <c r="AT29" t="str">
        <f>RTD("rtdtrading.rtdserver",, "SUZB3_B_0", "VIA")</f>
        <v>-</v>
      </c>
      <c r="AU29" t="str">
        <f>RTD("rtdtrading.rtdserver",, "SUZB3_B_0", "VIB")</f>
        <v>-</v>
      </c>
      <c r="AV29" t="str">
        <f>RTD("rtdtrading.rtdserver",, "SUZB3_B_0", "DOBRAR")</f>
        <v>-</v>
      </c>
      <c r="AW29" t="str">
        <f>RTD("rtdtrading.rtdserver",, "SUZB3_B_0", "VIVH")</f>
        <v>-</v>
      </c>
      <c r="AX29" t="str">
        <f>RTD("rtdtrading.rtdserver",, "SUZB3_B_0", "VINT")</f>
        <v>-</v>
      </c>
      <c r="AY29" t="str">
        <f>RTD("rtdtrading.rtdserver",, "SUZB3_B_0", "VEXT")</f>
        <v>-</v>
      </c>
      <c r="AZ29" t="str">
        <f>RTD("rtdtrading.rtdserver",, "SUZB3_B_0", "101_psicotrade")</f>
        <v>0,00 0,00</v>
      </c>
      <c r="BA29" t="str">
        <f>RTD("rtdtrading.rtdserver",, "SUZB3_B_0", "67")</f>
        <v>53,38</v>
      </c>
    </row>
    <row r="30" spans="1:53" x14ac:dyDescent="0.35">
      <c r="A30" t="s">
        <v>90</v>
      </c>
      <c r="B30" t="str">
        <f>RTD("rtdtrading.rtdserver",, "CMIG4_B_0", "DAT")</f>
        <v>13/03/2026</v>
      </c>
      <c r="C30" t="str">
        <f>RTD("rtdtrading.rtdserver",, "CMIG4_B_0", "HOR")</f>
        <v>15:11:38</v>
      </c>
      <c r="D30">
        <f>RTD("rtdtrading.rtdserver",, "CMIG4_B_0", "ULT")</f>
        <v>11.81</v>
      </c>
      <c r="E30">
        <f>RTD("rtdtrading.rtdserver",, "CMIG4_B_0", "ABE")</f>
        <v>11.8</v>
      </c>
      <c r="F30">
        <f>RTD("rtdtrading.rtdserver",, "CMIG4_B_0", "MAX")</f>
        <v>11.98</v>
      </c>
      <c r="G30">
        <f>RTD("rtdtrading.rtdserver",, "CMIG4_B_0", "MIN")</f>
        <v>11.73</v>
      </c>
      <c r="H30">
        <f>RTD("rtdtrading.rtdserver",, "CMIG4_B_0", "FEC")</f>
        <v>11.68</v>
      </c>
      <c r="I30">
        <f>RTD("rtdtrading.rtdserver",, "CMIG4_B_0", "PEX")</f>
        <v>0</v>
      </c>
      <c r="J30">
        <f>RTD("rtdtrading.rtdserver",, "CMIG4_B_0", "VAR")</f>
        <v>1.1130136986301438</v>
      </c>
      <c r="K30">
        <f>RTD("rtdtrading.rtdserver",, "CMIG4_B_0", "VARPTS")</f>
        <v>0.13000000000000078</v>
      </c>
      <c r="L30">
        <f>RTD("rtdtrading.rtdserver",, "CMIG4_B_0", "MED")</f>
        <v>11.87370978710822</v>
      </c>
      <c r="M30" t="s">
        <v>91</v>
      </c>
      <c r="N30">
        <f>RTD("rtdtrading.rtdserver",, "CMIG4_B_0", "NEG")</f>
        <v>12189</v>
      </c>
      <c r="O30">
        <f>RTD("rtdtrading.rtdserver",, "CMIG4_B_0", "QUL")</f>
        <v>100</v>
      </c>
      <c r="P30">
        <f>RTD("rtdtrading.rtdserver",, "CMIG4_B_0", "QTT")</f>
        <v>6764000</v>
      </c>
      <c r="Q30">
        <f>RTD("rtdtrading.rtdserver",, "CMIG4_B_0", "VOL")</f>
        <v>80313773</v>
      </c>
      <c r="R30">
        <f>RTD("rtdtrading.rtdserver",, "CMIG4_B_0", "OCP")</f>
        <v>11.81</v>
      </c>
      <c r="S30">
        <f>RTD("rtdtrading.rtdserver",, "CMIG4_B_0", "OVD")</f>
        <v>11.82</v>
      </c>
      <c r="T30">
        <f>RTD("rtdtrading.rtdserver",, "CMIG4_B_0", "VOC")</f>
        <v>42200</v>
      </c>
      <c r="U30">
        <f>RTD("rtdtrading.rtdserver",, "CMIG4_B_0", "VOV")</f>
        <v>4600</v>
      </c>
      <c r="V30">
        <f>RTD("rtdtrading.rtdserver",, "CMIG4_B_0", "AJU")</f>
        <v>0</v>
      </c>
      <c r="W30">
        <f>RTD("rtdtrading.rtdserver",, "CMIG4_B_0", "AJA")</f>
        <v>0</v>
      </c>
      <c r="X30">
        <f>RTD("rtdtrading.rtdserver",, "CMIG4_B_0", "PRT")</f>
        <v>0</v>
      </c>
      <c r="Y30">
        <f>RTD("rtdtrading.rtdserver",, "CMIG4_B_0", "QTE")</f>
        <v>0</v>
      </c>
      <c r="Z30">
        <f>RTD("rtdtrading.rtdserver",, "CMIG4_B_0", "VPJ")</f>
        <v>92778772.959674835</v>
      </c>
      <c r="AA30">
        <f>RTD("rtdtrading.rtdserver",, "CMIG4_B_0", "SEM")</f>
        <v>2.1626297577854672</v>
      </c>
      <c r="AB30">
        <f>RTD("rtdtrading.rtdserver",, "CMIG4_B_0", "MES")</f>
        <v>-2.1541010770505369</v>
      </c>
      <c r="AC30">
        <f>RTD("rtdtrading.rtdserver",, "CMIG4_B_0", "3M")</f>
        <v>11.30798665435147</v>
      </c>
      <c r="AD30">
        <f>RTD("rtdtrading.rtdserver",, "CMIG4_B_0", "6M")</f>
        <v>12.18770779899306</v>
      </c>
      <c r="AE30">
        <f>RTD("rtdtrading.rtdserver",, "CMIG4_B_0", "12M")</f>
        <v>21.365957927838128</v>
      </c>
      <c r="AF30">
        <f>RTD("rtdtrading.rtdserver",, "CMIG4_B_0", "ANO")</f>
        <v>5.4464285714285658</v>
      </c>
      <c r="AG30">
        <f>RTD("rtdtrading.rtdserver",, "CMIG4_B_0", "TRIM")</f>
        <v>5.4464285714285658</v>
      </c>
      <c r="AH30">
        <f>RTD("rtdtrading.rtdserver",, "CMIG4_B_0", "SEMES")</f>
        <v>5.4464285714285658</v>
      </c>
      <c r="AI30" t="str">
        <f>RTD("rtdtrading.rtdserver",, "CMIG4_B_0", "VEN")</f>
        <v>-</v>
      </c>
      <c r="AJ30" t="str">
        <f>RTD("rtdtrading.rtdserver",, "CMIG4_B_0", "VAL")</f>
        <v>31/12/9999</v>
      </c>
      <c r="AK30">
        <f>RTD("rtdtrading.rtdserver",, "CMIG4_B_0", "CAB")</f>
        <v>0</v>
      </c>
      <c r="AL30" t="str">
        <f>RTD("rtdtrading.rtdserver",, "CMIG4_B_0", "EST")</f>
        <v>Aberto</v>
      </c>
      <c r="AM30" t="str">
        <f>RTD("rtdtrading.rtdserver",, "CMIG4_B_0", "BLACK")</f>
        <v>-</v>
      </c>
      <c r="AN30" t="str">
        <f>RTD("rtdtrading.rtdserver",, "CMIG4_B_0", "IMPVT")</f>
        <v>-</v>
      </c>
      <c r="AO30" t="str">
        <f>RTD("rtdtrading.rtdserver",, "CMIG4_B_0", "DELTA")</f>
        <v>-</v>
      </c>
      <c r="AP30" t="str">
        <f>RTD("rtdtrading.rtdserver",, "CMIG4_B_0", "GAMA")</f>
        <v>-</v>
      </c>
      <c r="AQ30" t="str">
        <f>RTD("rtdtrading.rtdserver",, "CMIG4_B_0", "THETA")</f>
        <v>-</v>
      </c>
      <c r="AR30" t="str">
        <f>RTD("rtdtrading.rtdserver",, "CMIG4_B_0", "RHO")</f>
        <v>-</v>
      </c>
      <c r="AS30" t="str">
        <f>RTD("rtdtrading.rtdserver",, "CMIG4_B_0", "VEGA")</f>
        <v>-</v>
      </c>
      <c r="AT30" t="str">
        <f>RTD("rtdtrading.rtdserver",, "CMIG4_B_0", "VIA")</f>
        <v>-</v>
      </c>
      <c r="AU30" t="str">
        <f>RTD("rtdtrading.rtdserver",, "CMIG4_B_0", "VIB")</f>
        <v>-</v>
      </c>
      <c r="AV30" t="str">
        <f>RTD("rtdtrading.rtdserver",, "CMIG4_B_0", "DOBRAR")</f>
        <v>-</v>
      </c>
      <c r="AW30" t="str">
        <f>RTD("rtdtrading.rtdserver",, "CMIG4_B_0", "VIVH")</f>
        <v>-</v>
      </c>
      <c r="AX30" t="str">
        <f>RTD("rtdtrading.rtdserver",, "CMIG4_B_0", "VINT")</f>
        <v>-</v>
      </c>
      <c r="AY30" t="str">
        <f>RTD("rtdtrading.rtdserver",, "CMIG4_B_0", "VEXT")</f>
        <v>-</v>
      </c>
      <c r="AZ30" t="str">
        <f>RTD("rtdtrading.rtdserver",, "CMIG4_B_0", "101_psicotrade")</f>
        <v>0,00 0,00</v>
      </c>
      <c r="BA30" t="str">
        <f>RTD("rtdtrading.rtdserver",, "CMIG4_B_0", "67")</f>
        <v>11,87</v>
      </c>
    </row>
    <row r="31" spans="1:53" x14ac:dyDescent="0.35">
      <c r="A31" t="s">
        <v>92</v>
      </c>
      <c r="B31" t="str">
        <f>RTD("rtdtrading.rtdserver",, "BRFS3_B_0", "DAT")</f>
        <v>30/12/1899</v>
      </c>
      <c r="C31" t="str">
        <f>RTD("rtdtrading.rtdserver",, "BRFS3_B_0", "HOR")</f>
        <v>00:00:00</v>
      </c>
      <c r="D31">
        <f>RTD("rtdtrading.rtdserver",, "BRFS3_B_0", "ULT")</f>
        <v>0</v>
      </c>
      <c r="E31">
        <f>RTD("rtdtrading.rtdserver",, "BRFS3_B_0", "ABE")</f>
        <v>0</v>
      </c>
      <c r="F31">
        <f>RTD("rtdtrading.rtdserver",, "BRFS3_B_0", "MAX")</f>
        <v>0</v>
      </c>
      <c r="G31">
        <f>RTD("rtdtrading.rtdserver",, "BRFS3_B_0", "MIN")</f>
        <v>0</v>
      </c>
      <c r="H31">
        <f>RTD("rtdtrading.rtdserver",, "BRFS3_B_0", "FEC")</f>
        <v>0</v>
      </c>
      <c r="I31">
        <f>RTD("rtdtrading.rtdserver",, "BRFS3_B_0", "PEX")</f>
        <v>0</v>
      </c>
      <c r="J31">
        <f>RTD("rtdtrading.rtdserver",, "BRFS3_B_0", "VAR")</f>
        <v>0</v>
      </c>
      <c r="K31">
        <f>RTD("rtdtrading.rtdserver",, "BRFS3_B_0", "VARPTS")</f>
        <v>0</v>
      </c>
      <c r="L31">
        <f>RTD("rtdtrading.rtdserver",, "BRFS3_B_0", "MED")</f>
        <v>0</v>
      </c>
      <c r="M31" t="s">
        <v>93</v>
      </c>
      <c r="N31">
        <f>RTD("rtdtrading.rtdserver",, "BRFS3_B_0", "NEG")</f>
        <v>0</v>
      </c>
      <c r="O31">
        <f>RTD("rtdtrading.rtdserver",, "BRFS3_B_0", "QUL")</f>
        <v>0</v>
      </c>
      <c r="P31">
        <f>RTD("rtdtrading.rtdserver",, "BRFS3_B_0", "QTT")</f>
        <v>0</v>
      </c>
      <c r="Q31">
        <f>RTD("rtdtrading.rtdserver",, "BRFS3_B_0", "VOL")</f>
        <v>0</v>
      </c>
      <c r="R31">
        <f>RTD("rtdtrading.rtdserver",, "BRFS3_B_0", "OCP")</f>
        <v>0</v>
      </c>
      <c r="S31">
        <f>RTD("rtdtrading.rtdserver",, "BRFS3_B_0", "OVD")</f>
        <v>0</v>
      </c>
      <c r="T31">
        <f>RTD("rtdtrading.rtdserver",, "BRFS3_B_0", "VOC")</f>
        <v>0</v>
      </c>
      <c r="U31">
        <f>RTD("rtdtrading.rtdserver",, "BRFS3_B_0", "VOV")</f>
        <v>0</v>
      </c>
      <c r="V31">
        <f>RTD("rtdtrading.rtdserver",, "BRFS3_B_0", "AJU")</f>
        <v>0</v>
      </c>
      <c r="W31">
        <f>RTD("rtdtrading.rtdserver",, "BRFS3_B_0", "AJA")</f>
        <v>0</v>
      </c>
      <c r="X31">
        <f>RTD("rtdtrading.rtdserver",, "BRFS3_B_0", "PRT")</f>
        <v>0</v>
      </c>
      <c r="Y31">
        <f>RTD("rtdtrading.rtdserver",, "BRFS3_B_0", "QTE")</f>
        <v>0</v>
      </c>
      <c r="Z31">
        <f>RTD("rtdtrading.rtdserver",, "BRFS3_B_0", "VPJ")</f>
        <v>0</v>
      </c>
      <c r="AA31">
        <f>RTD("rtdtrading.rtdserver",, "BRFS3_B_0", "SEM")</f>
        <v>0</v>
      </c>
      <c r="AB31">
        <f>RTD("rtdtrading.rtdserver",, "BRFS3_B_0", "MES")</f>
        <v>0</v>
      </c>
      <c r="AC31">
        <f>RTD("rtdtrading.rtdserver",, "BRFS3_B_0", "3M")</f>
        <v>0</v>
      </c>
      <c r="AD31">
        <f>RTD("rtdtrading.rtdserver",, "BRFS3_B_0", "6M")</f>
        <v>0</v>
      </c>
      <c r="AE31">
        <f>RTD("rtdtrading.rtdserver",, "BRFS3_B_0", "12M")</f>
        <v>0</v>
      </c>
      <c r="AF31">
        <f>RTD("rtdtrading.rtdserver",, "BRFS3_B_0", "ANO")</f>
        <v>0</v>
      </c>
      <c r="AG31">
        <f>RTD("rtdtrading.rtdserver",, "BRFS3_B_0", "TRIM")</f>
        <v>0</v>
      </c>
      <c r="AH31">
        <f>RTD("rtdtrading.rtdserver",, "BRFS3_B_0", "SEMES")</f>
        <v>0</v>
      </c>
      <c r="AI31" t="str">
        <f>RTD("rtdtrading.rtdserver",, "BRFS3_B_0", "VEN")</f>
        <v>-</v>
      </c>
      <c r="AJ31" t="str">
        <f>RTD("rtdtrading.rtdserver",, "BRFS3_B_0", "VAL")</f>
        <v>31/12/9999</v>
      </c>
      <c r="AK31">
        <f>RTD("rtdtrading.rtdserver",, "BRFS3_B_0", "CAB")</f>
        <v>0</v>
      </c>
      <c r="AL31" t="str">
        <f>RTD("rtdtrading.rtdserver",, "BRFS3_B_0", "EST")</f>
        <v>NONE</v>
      </c>
      <c r="AM31" t="str">
        <f>RTD("rtdtrading.rtdserver",, "BRFS3_B_0", "BLACK")</f>
        <v>-</v>
      </c>
      <c r="AN31" t="str">
        <f>RTD("rtdtrading.rtdserver",, "BRFS3_B_0", "IMPVT")</f>
        <v>-</v>
      </c>
      <c r="AO31" t="str">
        <f>RTD("rtdtrading.rtdserver",, "BRFS3_B_0", "DELTA")</f>
        <v>-</v>
      </c>
      <c r="AP31" t="str">
        <f>RTD("rtdtrading.rtdserver",, "BRFS3_B_0", "GAMA")</f>
        <v>-</v>
      </c>
      <c r="AQ31" t="str">
        <f>RTD("rtdtrading.rtdserver",, "BRFS3_B_0", "THETA")</f>
        <v>-</v>
      </c>
      <c r="AR31" t="str">
        <f>RTD("rtdtrading.rtdserver",, "BRFS3_B_0", "RHO")</f>
        <v>-</v>
      </c>
      <c r="AS31" t="str">
        <f>RTD("rtdtrading.rtdserver",, "BRFS3_B_0", "VEGA")</f>
        <v>-</v>
      </c>
      <c r="AT31" t="str">
        <f>RTD("rtdtrading.rtdserver",, "BRFS3_B_0", "VIA")</f>
        <v>-</v>
      </c>
      <c r="AU31" t="str">
        <f>RTD("rtdtrading.rtdserver",, "BRFS3_B_0", "VIB")</f>
        <v>-</v>
      </c>
      <c r="AV31" t="str">
        <f>RTD("rtdtrading.rtdserver",, "BRFS3_B_0", "DOBRAR")</f>
        <v>-</v>
      </c>
      <c r="AW31" t="str">
        <f>RTD("rtdtrading.rtdserver",, "BRFS3_B_0", "VIVH")</f>
        <v>-</v>
      </c>
      <c r="AX31" t="str">
        <f>RTD("rtdtrading.rtdserver",, "BRFS3_B_0", "VINT")</f>
        <v>-</v>
      </c>
      <c r="AY31" t="str">
        <f>RTD("rtdtrading.rtdserver",, "BRFS3_B_0", "VEXT")</f>
        <v>-</v>
      </c>
      <c r="AZ31" t="str">
        <f>RTD("rtdtrading.rtdserver",, "BRFS3_B_0", "101_psicotrade")</f>
        <v>-</v>
      </c>
      <c r="BA31" t="str">
        <f>RTD("rtdtrading.rtdserver",, "BRFS3_B_0", "67")</f>
        <v>-</v>
      </c>
    </row>
    <row r="32" spans="1:53" x14ac:dyDescent="0.35">
      <c r="A32" t="s">
        <v>94</v>
      </c>
      <c r="B32" t="str">
        <f>RTD("rtdtrading.rtdserver",, "PETR4_B_0", "DAT")</f>
        <v>13/03/2026</v>
      </c>
      <c r="C32" t="str">
        <f>RTD("rtdtrading.rtdserver",, "PETR4_B_0", "HOR")</f>
        <v>15:11:38</v>
      </c>
      <c r="D32">
        <f>RTD("rtdtrading.rtdserver",, "PETR4_B_0", "ULT")</f>
        <v>44.68</v>
      </c>
      <c r="E32">
        <f>RTD("rtdtrading.rtdserver",, "PETR4_B_0", "ABE")</f>
        <v>44.61</v>
      </c>
      <c r="F32">
        <f>RTD("rtdtrading.rtdserver",, "PETR4_B_0", "MAX")</f>
        <v>45.34</v>
      </c>
      <c r="G32">
        <f>RTD("rtdtrading.rtdserver",, "PETR4_B_0", "MIN")</f>
        <v>44.29</v>
      </c>
      <c r="H32">
        <f>RTD("rtdtrading.rtdserver",, "PETR4_B_0", "FEC")</f>
        <v>45</v>
      </c>
      <c r="I32">
        <f>RTD("rtdtrading.rtdserver",, "PETR4_B_0", "PEX")</f>
        <v>0</v>
      </c>
      <c r="J32">
        <f>RTD("rtdtrading.rtdserver",, "PETR4_B_0", "VAR")</f>
        <v>-0.7111111111111118</v>
      </c>
      <c r="K32">
        <f>RTD("rtdtrading.rtdserver",, "PETR4_B_0", "VARPTS")</f>
        <v>-0.32000000000000028</v>
      </c>
      <c r="L32">
        <f>RTD("rtdtrading.rtdserver",, "PETR4_B_0", "MED")</f>
        <v>44.679437395051167</v>
      </c>
      <c r="M32" t="s">
        <v>95</v>
      </c>
      <c r="N32">
        <f>RTD("rtdtrading.rtdserver",, "PETR4_B_0", "NEG")</f>
        <v>45080</v>
      </c>
      <c r="O32">
        <f>RTD("rtdtrading.rtdserver",, "PETR4_B_0", "QUL")</f>
        <v>100</v>
      </c>
      <c r="P32">
        <f>RTD("rtdtrading.rtdserver",, "PETR4_B_0", "QTT")</f>
        <v>25250400</v>
      </c>
      <c r="Q32">
        <f>RTD("rtdtrading.rtdserver",, "PETR4_B_0", "VOL")</f>
        <v>1128173666</v>
      </c>
      <c r="R32">
        <f>RTD("rtdtrading.rtdserver",, "PETR4_B_0", "OCP")</f>
        <v>44.67</v>
      </c>
      <c r="S32">
        <f>RTD("rtdtrading.rtdserver",, "PETR4_B_0", "OVD")</f>
        <v>44.68</v>
      </c>
      <c r="T32">
        <f>RTD("rtdtrading.rtdserver",, "PETR4_B_0", "VOC")</f>
        <v>700</v>
      </c>
      <c r="U32">
        <f>RTD("rtdtrading.rtdserver",, "PETR4_B_0", "VOV")</f>
        <v>7300</v>
      </c>
      <c r="V32">
        <f>RTD("rtdtrading.rtdserver",, "PETR4_B_0", "AJU")</f>
        <v>0</v>
      </c>
      <c r="W32">
        <f>RTD("rtdtrading.rtdserver",, "PETR4_B_0", "AJA")</f>
        <v>0</v>
      </c>
      <c r="X32">
        <f>RTD("rtdtrading.rtdserver",, "PETR4_B_0", "PRT")</f>
        <v>0</v>
      </c>
      <c r="Y32">
        <f>RTD("rtdtrading.rtdserver",, "PETR4_B_0", "QTE")</f>
        <v>0</v>
      </c>
      <c r="Z32">
        <f>RTD("rtdtrading.rtdserver",, "PETR4_B_0", "VPJ")</f>
        <v>1303270466.6595356</v>
      </c>
      <c r="AA32">
        <f>RTD("rtdtrading.rtdserver",, "PETR4_B_0", "SEM")</f>
        <v>6.1030634053668971</v>
      </c>
      <c r="AB32">
        <f>RTD("rtdtrading.rtdserver",, "PETR4_B_0", "MES")</f>
        <v>13.602847698957524</v>
      </c>
      <c r="AC32">
        <f>RTD("rtdtrading.rtdserver",, "PETR4_B_0", "3M")</f>
        <v>46.927769282625484</v>
      </c>
      <c r="AD32">
        <f>RTD("rtdtrading.rtdserver",, "PETR4_B_0", "6M")</f>
        <v>46.319577939409015</v>
      </c>
      <c r="AE32">
        <f>RTD("rtdtrading.rtdserver",, "PETR4_B_0", "12M")</f>
        <v>44.567865682604278</v>
      </c>
      <c r="AF32">
        <f>RTD("rtdtrading.rtdserver",, "PETR4_B_0", "ANO")</f>
        <v>44.970798182998053</v>
      </c>
      <c r="AG32">
        <f>RTD("rtdtrading.rtdserver",, "PETR4_B_0", "TRIM")</f>
        <v>44.970798182998053</v>
      </c>
      <c r="AH32">
        <f>RTD("rtdtrading.rtdserver",, "PETR4_B_0", "SEMES")</f>
        <v>44.970798182998053</v>
      </c>
      <c r="AI32" t="str">
        <f>RTD("rtdtrading.rtdserver",, "PETR4_B_0", "VEN")</f>
        <v>-</v>
      </c>
      <c r="AJ32" t="str">
        <f>RTD("rtdtrading.rtdserver",, "PETR4_B_0", "VAL")</f>
        <v>31/12/9999</v>
      </c>
      <c r="AK32">
        <f>RTD("rtdtrading.rtdserver",, "PETR4_B_0", "CAB")</f>
        <v>0</v>
      </c>
      <c r="AL32" t="str">
        <f>RTD("rtdtrading.rtdserver",, "PETR4_B_0", "EST")</f>
        <v>Aberto</v>
      </c>
      <c r="AM32" t="str">
        <f>RTD("rtdtrading.rtdserver",, "PETR4_B_0", "BLACK")</f>
        <v>-</v>
      </c>
      <c r="AN32" t="str">
        <f>RTD("rtdtrading.rtdserver",, "PETR4_B_0", "IMPVT")</f>
        <v>-</v>
      </c>
      <c r="AO32" t="str">
        <f>RTD("rtdtrading.rtdserver",, "PETR4_B_0", "DELTA")</f>
        <v>-</v>
      </c>
      <c r="AP32" t="str">
        <f>RTD("rtdtrading.rtdserver",, "PETR4_B_0", "GAMA")</f>
        <v>-</v>
      </c>
      <c r="AQ32" t="str">
        <f>RTD("rtdtrading.rtdserver",, "PETR4_B_0", "THETA")</f>
        <v>-</v>
      </c>
      <c r="AR32" t="str">
        <f>RTD("rtdtrading.rtdserver",, "PETR4_B_0", "RHO")</f>
        <v>-</v>
      </c>
      <c r="AS32" t="str">
        <f>RTD("rtdtrading.rtdserver",, "PETR4_B_0", "VEGA")</f>
        <v>-</v>
      </c>
      <c r="AT32" t="str">
        <f>RTD("rtdtrading.rtdserver",, "PETR4_B_0", "VIA")</f>
        <v>-</v>
      </c>
      <c r="AU32" t="str">
        <f>RTD("rtdtrading.rtdserver",, "PETR4_B_0", "VIB")</f>
        <v>-</v>
      </c>
      <c r="AV32" t="str">
        <f>RTD("rtdtrading.rtdserver",, "PETR4_B_0", "DOBRAR")</f>
        <v>-</v>
      </c>
      <c r="AW32" t="str">
        <f>RTD("rtdtrading.rtdserver",, "PETR4_B_0", "VIVH")</f>
        <v>-</v>
      </c>
      <c r="AX32" t="str">
        <f>RTD("rtdtrading.rtdserver",, "PETR4_B_0", "VINT")</f>
        <v>-</v>
      </c>
      <c r="AY32" t="str">
        <f>RTD("rtdtrading.rtdserver",, "PETR4_B_0", "VEXT")</f>
        <v>-</v>
      </c>
      <c r="AZ32" t="str">
        <f>RTD("rtdtrading.rtdserver",, "PETR4_B_0", "101_psicotrade")</f>
        <v>0,00 0,00</v>
      </c>
      <c r="BA32" t="str">
        <f>RTD("rtdtrading.rtdserver",, "PETR4_B_0", "67")</f>
        <v>44,68</v>
      </c>
    </row>
    <row r="33" spans="1:53" x14ac:dyDescent="0.35">
      <c r="A33" t="s">
        <v>109</v>
      </c>
      <c r="B33" t="str">
        <f>RTD("rtdtrading.rtdserver",, "DOLFUT_F_0", "DAT")</f>
        <v>13/03/2026</v>
      </c>
      <c r="C33" t="str">
        <f>RTD("rtdtrading.rtdserver",, "DOLFUT_F_0", "HOR")</f>
        <v>15:11:38</v>
      </c>
      <c r="D33">
        <f>RTD("rtdtrading.rtdserver",, "DOLFUT_F_0", "ULT")</f>
        <v>5321.5</v>
      </c>
      <c r="E33">
        <f>RTD("rtdtrading.rtdserver",, "DOLFUT_F_0", "ABE")</f>
        <v>5264</v>
      </c>
      <c r="F33">
        <f>RTD("rtdtrading.rtdserver",, "DOLFUT_F_0", "MAX")</f>
        <v>5327</v>
      </c>
      <c r="G33">
        <f>RTD("rtdtrading.rtdserver",, "DOLFUT_F_0", "MIN")</f>
        <v>5238</v>
      </c>
      <c r="H33">
        <f>RTD("rtdtrading.rtdserver",, "DOLFUT_F_0", "FEC")</f>
        <v>5281.5</v>
      </c>
      <c r="I33">
        <f>RTD("rtdtrading.rtdserver",, "DOLFUT_F_0", "PEX")</f>
        <v>0</v>
      </c>
      <c r="J33">
        <f>RTD("rtdtrading.rtdserver",, "DOLFUT_F_0", "VAR")</f>
        <v>0.75736059831487268</v>
      </c>
      <c r="K33">
        <f>RTD("rtdtrading.rtdserver",, "DOLFUT_F_0", "VARPTS")</f>
        <v>40</v>
      </c>
      <c r="L33">
        <f>RTD("rtdtrading.rtdserver",, "DOLFUT_F_0", "MED")</f>
        <v>5287.3420602808483</v>
      </c>
      <c r="M33" t="s">
        <v>110</v>
      </c>
      <c r="N33">
        <f>RTD("rtdtrading.rtdserver",, "DOLFUT_F_0", "NEG")</f>
        <v>25380</v>
      </c>
      <c r="O33">
        <f>RTD("rtdtrading.rtdserver",, "DOLFUT_F_0", "QUL")</f>
        <v>5</v>
      </c>
      <c r="P33">
        <f>RTD("rtdtrading.rtdserver",, "DOLFUT_F_0", "QTT")</f>
        <v>231085</v>
      </c>
      <c r="Q33">
        <f>RTD("rtdtrading.rtdserver",, "DOLFUT_F_0", "VOL")</f>
        <v>61091272000</v>
      </c>
      <c r="R33">
        <f>RTD("rtdtrading.rtdserver",, "DOLFUT_F_0", "OCP")</f>
        <v>5321.5</v>
      </c>
      <c r="S33">
        <f>RTD("rtdtrading.rtdserver",, "DOLFUT_F_0", "OVD")</f>
        <v>5322</v>
      </c>
      <c r="T33">
        <f>RTD("rtdtrading.rtdserver",, "DOLFUT_F_0", "VOC")</f>
        <v>15</v>
      </c>
      <c r="U33">
        <f>RTD("rtdtrading.rtdserver",, "DOLFUT_F_0", "VOV")</f>
        <v>65</v>
      </c>
      <c r="V33">
        <f>RTD("rtdtrading.rtdserver",, "DOLFUT_F_0", "AJU")</f>
        <v>0</v>
      </c>
      <c r="W33">
        <f>RTD("rtdtrading.rtdserver",, "DOLFUT_F_0", "AJA")</f>
        <v>5253.3280000000004</v>
      </c>
      <c r="X33">
        <f>RTD("rtdtrading.rtdserver",, "DOLFUT_F_0", "PRT")</f>
        <v>0</v>
      </c>
      <c r="Y33">
        <f>RTD("rtdtrading.rtdserver",, "DOLFUT_F_0", "QTE")</f>
        <v>0</v>
      </c>
      <c r="Z33">
        <f>RTD("rtdtrading.rtdserver",, "DOLFUT_F_0", "VPJ")</f>
        <v>89829597874.327087</v>
      </c>
      <c r="AA33">
        <f>RTD("rtdtrading.rtdserver",, "DOLFUT_F_0", "SEM")</f>
        <v>0.60497211456659417</v>
      </c>
      <c r="AB33">
        <f>RTD("rtdtrading.rtdserver",, "DOLFUT_F_0", "MES")</f>
        <v>2.9204138864713278</v>
      </c>
      <c r="AC33">
        <f>RTD("rtdtrading.rtdserver",, "DOLFUT_F_0", "3M")</f>
        <v>-4.0206113117456841</v>
      </c>
      <c r="AD33">
        <f>RTD("rtdtrading.rtdserver",, "DOLFUT_F_0", "6M")</f>
        <v>-5.784867056817351</v>
      </c>
      <c r="AE33">
        <f>RTD("rtdtrading.rtdserver",, "DOLFUT_F_0", "12M")</f>
        <v>-16.038947420445968</v>
      </c>
      <c r="AF33">
        <f>RTD("rtdtrading.rtdserver",, "DOLFUT_F_0", "ANO")</f>
        <v>-4.8725851088347465</v>
      </c>
      <c r="AG33">
        <f>RTD("rtdtrading.rtdserver",, "DOLFUT_F_0", "TRIM")</f>
        <v>-4.8725851088347465</v>
      </c>
      <c r="AH33">
        <f>RTD("rtdtrading.rtdserver",, "DOLFUT_F_0", "SEMES")</f>
        <v>-4.8725851088347465</v>
      </c>
      <c r="AI33" t="str">
        <f>RTD("rtdtrading.rtdserver",, "DOLFUT_F_0", "VEN")</f>
        <v>01/04/2026</v>
      </c>
      <c r="AJ33" t="str">
        <f>RTD("rtdtrading.rtdserver",, "DOLFUT_F_0", "VAL")</f>
        <v>31/03/2026</v>
      </c>
      <c r="AK33">
        <f>RTD("rtdtrading.rtdserver",, "DOLFUT_F_0", "CAB")</f>
        <v>911142</v>
      </c>
      <c r="AL33" t="str">
        <f>RTD("rtdtrading.rtdserver",, "DOLFUT_F_0", "EST")</f>
        <v>Aberto</v>
      </c>
      <c r="AM33" t="str">
        <f>RTD("rtdtrading.rtdserver",, "DOLFUT_F_0", "BLACK")</f>
        <v>-</v>
      </c>
      <c r="AN33" t="str">
        <f>RTD("rtdtrading.rtdserver",, "DOLFUT_F_0", "IMPVT")</f>
        <v>-</v>
      </c>
      <c r="AO33" t="str">
        <f>RTD("rtdtrading.rtdserver",, "DOLFUT_F_0", "DELTA")</f>
        <v>-</v>
      </c>
      <c r="AP33" t="str">
        <f>RTD("rtdtrading.rtdserver",, "DOLFUT_F_0", "GAMA")</f>
        <v>-</v>
      </c>
      <c r="AQ33" t="str">
        <f>RTD("rtdtrading.rtdserver",, "DOLFUT_F_0", "THETA")</f>
        <v>-</v>
      </c>
      <c r="AR33" t="str">
        <f>RTD("rtdtrading.rtdserver",, "DOLFUT_F_0", "RHO")</f>
        <v>-</v>
      </c>
      <c r="AS33" t="str">
        <f>RTD("rtdtrading.rtdserver",, "DOLFUT_F_0", "VEGA")</f>
        <v>-</v>
      </c>
      <c r="AT33" t="str">
        <f>RTD("rtdtrading.rtdserver",, "DOLFUT_F_0", "VIA")</f>
        <v>-</v>
      </c>
      <c r="AU33" t="str">
        <f>RTD("rtdtrading.rtdserver",, "DOLFUT_F_0", "VIB")</f>
        <v>-</v>
      </c>
      <c r="AV33" t="str">
        <f>RTD("rtdtrading.rtdserver",, "DOLFUT_F_0", "DOBRAR")</f>
        <v>-</v>
      </c>
      <c r="AW33" t="str">
        <f>RTD("rtdtrading.rtdserver",, "DOLFUT_F_0", "VIVH")</f>
        <v>-</v>
      </c>
      <c r="AX33" t="str">
        <f>RTD("rtdtrading.rtdserver",, "DOLFUT_F_0", "VINT")</f>
        <v>-</v>
      </c>
      <c r="AY33" t="str">
        <f>RTD("rtdtrading.rtdserver",, "DOLFUT_F_0", "VEXT")</f>
        <v>-</v>
      </c>
      <c r="AZ33" t="str">
        <f>RTD("rtdtrading.rtdserver",, "DOLFUT_F_0", "101_psicotrade")</f>
        <v>0,00 0,00</v>
      </c>
      <c r="BA33" t="str">
        <f>RTD("rtdtrading.rtdserver",, "DOLFUT_F_0", "67")</f>
        <v>5.287,342</v>
      </c>
    </row>
    <row r="34" spans="1:53" x14ac:dyDescent="0.35">
      <c r="A34" t="s">
        <v>96</v>
      </c>
      <c r="B34" t="str">
        <f>RTD("rtdtrading.rtdserver",, "IBOV_B_0", "DAT")</f>
        <v>13/03/2026</v>
      </c>
      <c r="C34" t="str">
        <f>RTD("rtdtrading.rtdserver",, "IBOV_B_0", "HOR")</f>
        <v>15:11:30</v>
      </c>
      <c r="D34">
        <f>RTD("rtdtrading.rtdserver",, "IBOV_B_0", "ULT")</f>
        <v>178222.5</v>
      </c>
      <c r="E34">
        <f>RTD("rtdtrading.rtdserver",, "IBOV_B_0", "ABE")</f>
        <v>179285.23</v>
      </c>
      <c r="F34">
        <f>RTD("rtdtrading.rtdserver",, "IBOV_B_0", "MAX")</f>
        <v>180995.79</v>
      </c>
      <c r="G34">
        <f>RTD("rtdtrading.rtdserver",, "IBOV_B_0", "MIN")</f>
        <v>177736.18</v>
      </c>
      <c r="H34">
        <f>RTD("rtdtrading.rtdserver",, "IBOV_B_0", "FEC")</f>
        <v>179284.49000000002</v>
      </c>
      <c r="I34">
        <f>RTD("rtdtrading.rtdserver",, "IBOV_B_0", "PEX")</f>
        <v>0</v>
      </c>
      <c r="J34">
        <f>RTD("rtdtrading.rtdserver",, "IBOV_B_0", "VAR")</f>
        <v>-0.59234906488565731</v>
      </c>
      <c r="K34">
        <f>RTD("rtdtrading.rtdserver",, "IBOV_B_0", "VARPTS")</f>
        <v>-1061.9900000000198</v>
      </c>
      <c r="L34">
        <f>RTD("rtdtrading.rtdserver",, "IBOV_B_0", "MED")</f>
        <v>179059.92499999999</v>
      </c>
      <c r="M34" t="s">
        <v>97</v>
      </c>
      <c r="N34">
        <f>RTD("rtdtrading.rtdserver",, "IBOV_B_0", "NEG")</f>
        <v>1126435</v>
      </c>
      <c r="O34">
        <f>RTD("rtdtrading.rtdserver",, "IBOV_B_0", "QUL")</f>
        <v>0</v>
      </c>
      <c r="P34">
        <f>RTD("rtdtrading.rtdserver",, "IBOV_B_0", "QTT")</f>
        <v>609427600</v>
      </c>
      <c r="Q34">
        <f>RTD("rtdtrading.rtdserver",, "IBOV_B_0", "VOL")</f>
        <v>14092555948</v>
      </c>
      <c r="R34">
        <f>RTD("rtdtrading.rtdserver",, "IBOV_B_0", "OCP")</f>
        <v>0</v>
      </c>
      <c r="S34">
        <f>RTD("rtdtrading.rtdserver",, "IBOV_B_0", "OVD")</f>
        <v>0</v>
      </c>
      <c r="T34">
        <f>RTD("rtdtrading.rtdserver",, "IBOV_B_0", "VOC")</f>
        <v>0</v>
      </c>
      <c r="U34">
        <f>RTD("rtdtrading.rtdserver",, "IBOV_B_0", "VOV")</f>
        <v>0</v>
      </c>
      <c r="V34">
        <f>RTD("rtdtrading.rtdserver",, "IBOV_B_0", "AJU")</f>
        <v>0</v>
      </c>
      <c r="W34">
        <f>RTD("rtdtrading.rtdserver",, "IBOV_B_0", "AJA")</f>
        <v>179519</v>
      </c>
      <c r="X34">
        <f>RTD("rtdtrading.rtdserver",, "IBOV_B_0", "PRT")</f>
        <v>0</v>
      </c>
      <c r="Y34">
        <f>RTD("rtdtrading.rtdserver",, "IBOV_B_0", "QTE")</f>
        <v>0</v>
      </c>
      <c r="Z34">
        <f>RTD("rtdtrading.rtdserver",, "IBOV_B_0", "VPJ")</f>
        <v>16286742026.581059</v>
      </c>
      <c r="AA34">
        <f>RTD("rtdtrading.rtdserver",, "IBOV_B_0", "SEM")</f>
        <v>-0.63686959349107974</v>
      </c>
      <c r="AB34">
        <f>RTD("rtdtrading.rtdserver",, "IBOV_B_0", "MES")</f>
        <v>-5.5959791294929397</v>
      </c>
      <c r="AC34">
        <f>RTD("rtdtrading.rtdserver",, "IBOV_B_0", "3M")</f>
        <v>11.956471894118375</v>
      </c>
      <c r="AD34">
        <f>RTD("rtdtrading.rtdserver",, "IBOV_B_0", "6M")</f>
        <v>24.499793364817144</v>
      </c>
      <c r="AE34">
        <f>RTD("rtdtrading.rtdserver",, "IBOV_B_0", "12M")</f>
        <v>43.886213452712056</v>
      </c>
      <c r="AF34">
        <f>RTD("rtdtrading.rtdserver",, "IBOV_B_0", "ANO")</f>
        <v>10.611072607622255</v>
      </c>
      <c r="AG34">
        <f>RTD("rtdtrading.rtdserver",, "IBOV_B_0", "TRIM")</f>
        <v>10.611072607622255</v>
      </c>
      <c r="AH34">
        <f>RTD("rtdtrading.rtdserver",, "IBOV_B_0", "SEMES")</f>
        <v>10.611072607622255</v>
      </c>
      <c r="AI34" t="str">
        <f>RTD("rtdtrading.rtdserver",, "IBOV_B_0", "VEN")</f>
        <v>01/01/9999</v>
      </c>
      <c r="AJ34" t="str">
        <f>RTD("rtdtrading.rtdserver",, "IBOV_B_0", "VAL")</f>
        <v>31/12/9999</v>
      </c>
      <c r="AK34">
        <f>RTD("rtdtrading.rtdserver",, "IBOV_B_0", "CAB")</f>
        <v>0</v>
      </c>
      <c r="AL34" t="str">
        <f>RTD("rtdtrading.rtdserver",, "IBOV_B_0", "EST")</f>
        <v>Aberto</v>
      </c>
      <c r="AM34" t="str">
        <f>RTD("rtdtrading.rtdserver",, "IBOV_B_0", "BLACK")</f>
        <v>-</v>
      </c>
      <c r="AN34" t="str">
        <f>RTD("rtdtrading.rtdserver",, "IBOV_B_0", "IMPVT")</f>
        <v>-</v>
      </c>
      <c r="AO34" t="str">
        <f>RTD("rtdtrading.rtdserver",, "IBOV_B_0", "DELTA")</f>
        <v>-</v>
      </c>
      <c r="AP34" t="str">
        <f>RTD("rtdtrading.rtdserver",, "IBOV_B_0", "GAMA")</f>
        <v>-</v>
      </c>
      <c r="AQ34" t="str">
        <f>RTD("rtdtrading.rtdserver",, "IBOV_B_0", "THETA")</f>
        <v>-</v>
      </c>
      <c r="AR34" t="str">
        <f>RTD("rtdtrading.rtdserver",, "IBOV_B_0", "RHO")</f>
        <v>-</v>
      </c>
      <c r="AS34" t="str">
        <f>RTD("rtdtrading.rtdserver",, "IBOV_B_0", "VEGA")</f>
        <v>-</v>
      </c>
      <c r="AT34" t="str">
        <f>RTD("rtdtrading.rtdserver",, "IBOV_B_0", "VIA")</f>
        <v>-</v>
      </c>
      <c r="AU34" t="str">
        <f>RTD("rtdtrading.rtdserver",, "IBOV_B_0", "VIB")</f>
        <v>-</v>
      </c>
      <c r="AV34" t="str">
        <f>RTD("rtdtrading.rtdserver",, "IBOV_B_0", "DOBRAR")</f>
        <v>-</v>
      </c>
      <c r="AW34" t="str">
        <f>RTD("rtdtrading.rtdserver",, "IBOV_B_0", "VIVH")</f>
        <v>-</v>
      </c>
      <c r="AX34" t="str">
        <f>RTD("rtdtrading.rtdserver",, "IBOV_B_0", "VINT")</f>
        <v>-</v>
      </c>
      <c r="AY34" t="str">
        <f>RTD("rtdtrading.rtdserver",, "IBOV_B_0", "VEXT")</f>
        <v>-</v>
      </c>
      <c r="AZ34" t="str">
        <f>RTD("rtdtrading.rtdserver",, "IBOV_B_0", "101_psicotrade")</f>
        <v>0,00 0,00</v>
      </c>
      <c r="BA34" t="str">
        <f>RTD("rtdtrading.rtdserver",, "IBOV_B_0", "67")</f>
        <v>178.984,82</v>
      </c>
    </row>
    <row r="35" spans="1:53" x14ac:dyDescent="0.35">
      <c r="A35" t="s">
        <v>98</v>
      </c>
      <c r="B35" t="str">
        <f>RTD("rtdtrading.rtdserver",, "USIM5_B_0", "DAT")</f>
        <v>13/03/2026</v>
      </c>
      <c r="C35" t="str">
        <f>RTD("rtdtrading.rtdserver",, "USIM5_B_0", "HOR")</f>
        <v>15:11:39</v>
      </c>
      <c r="D35">
        <f>RTD("rtdtrading.rtdserver",, "USIM5_B_0", "ULT")</f>
        <v>6.39</v>
      </c>
      <c r="E35">
        <f>RTD("rtdtrading.rtdserver",, "USIM5_B_0", "ABE")</f>
        <v>6.49</v>
      </c>
      <c r="F35">
        <f>RTD("rtdtrading.rtdserver",, "USIM5_B_0", "MAX")</f>
        <v>6.51</v>
      </c>
      <c r="G35" s="1">
        <f>RTD("rtdtrading.rtdserver",, "USIM5_B_0", "MIN")</f>
        <v>6.29</v>
      </c>
      <c r="H35">
        <f>RTD("rtdtrading.rtdserver",, "USIM5_B_0", "FEC")</f>
        <v>6.44</v>
      </c>
      <c r="I35">
        <f>RTD("rtdtrading.rtdserver",, "USIM5_B_0", "PEX")</f>
        <v>0</v>
      </c>
      <c r="J35">
        <f>RTD("rtdtrading.rtdserver",, "USIM5_B_0", "VAR")</f>
        <v>-0.77639751552796132</v>
      </c>
      <c r="K35">
        <f>RTD("rtdtrading.rtdserver",, "USIM5_B_0", "VARPTS")</f>
        <v>-5.0000000000000711E-2</v>
      </c>
      <c r="L35">
        <f>RTD("rtdtrading.rtdserver",, "USIM5_B_0", "MED")</f>
        <v>6.3906701815676028</v>
      </c>
      <c r="M35" t="s">
        <v>99</v>
      </c>
      <c r="N35">
        <f>RTD("rtdtrading.rtdserver",, "USIM5_B_0", "NEG")</f>
        <v>7483</v>
      </c>
      <c r="O35">
        <f>RTD("rtdtrading.rtdserver",, "USIM5_B_0", "QUL")</f>
        <v>100</v>
      </c>
      <c r="P35">
        <f>RTD("rtdtrading.rtdserver",, "USIM5_B_0", "QTT")</f>
        <v>6240100</v>
      </c>
      <c r="Q35">
        <f>RTD("rtdtrading.rtdserver",, "USIM5_B_0", "VOL")</f>
        <v>39878421</v>
      </c>
      <c r="R35">
        <f>RTD("rtdtrading.rtdserver",, "USIM5_B_0", "OCP")</f>
        <v>6.38</v>
      </c>
      <c r="S35">
        <f>RTD("rtdtrading.rtdserver",, "USIM5_B_0", "OVD")</f>
        <v>6.3900000000000006</v>
      </c>
      <c r="T35">
        <f>RTD("rtdtrading.rtdserver",, "USIM5_B_0", "VOC")</f>
        <v>29600</v>
      </c>
      <c r="U35">
        <f>RTD("rtdtrading.rtdserver",, "USIM5_B_0", "VOV")</f>
        <v>2600</v>
      </c>
      <c r="V35">
        <f>RTD("rtdtrading.rtdserver",, "USIM5_B_0", "AJU")</f>
        <v>0</v>
      </c>
      <c r="W35">
        <f>RTD("rtdtrading.rtdserver",, "USIM5_B_0", "AJA")</f>
        <v>0</v>
      </c>
      <c r="X35">
        <f>RTD("rtdtrading.rtdserver",, "USIM5_B_0", "PRT")</f>
        <v>0</v>
      </c>
      <c r="Y35">
        <f>RTD("rtdtrading.rtdserver",, "USIM5_B_0", "QTE")</f>
        <v>0</v>
      </c>
      <c r="Z35">
        <f>RTD("rtdtrading.rtdserver",, "USIM5_B_0", "VPJ")</f>
        <v>46065238.440558322</v>
      </c>
      <c r="AA35">
        <f>RTD("rtdtrading.rtdserver",, "USIM5_B_0", "SEM")</f>
        <v>-1.8433179723502453</v>
      </c>
      <c r="AB35">
        <f>RTD("rtdtrading.rtdserver",, "USIM5_B_0", "MES")</f>
        <v>-9.6181046676096269</v>
      </c>
      <c r="AC35">
        <f>RTD("rtdtrading.rtdserver",, "USIM5_B_0", "3M")</f>
        <v>6.8561872909698867</v>
      </c>
      <c r="AD35">
        <f>RTD("rtdtrading.rtdserver",, "USIM5_B_0", "6M")</f>
        <v>40.748898678414086</v>
      </c>
      <c r="AE35">
        <f>RTD("rtdtrading.rtdserver",, "USIM5_B_0", "12M")</f>
        <v>9.0443686006825832</v>
      </c>
      <c r="AF35">
        <f>RTD("rtdtrading.rtdserver",, "USIM5_B_0", "ANO")</f>
        <v>7.3949579831932688</v>
      </c>
      <c r="AG35">
        <f>RTD("rtdtrading.rtdserver",, "USIM5_B_0", "TRIM")</f>
        <v>7.3949579831932688</v>
      </c>
      <c r="AH35">
        <f>RTD("rtdtrading.rtdserver",, "USIM5_B_0", "SEMES")</f>
        <v>7.3949579831932688</v>
      </c>
      <c r="AI35" t="str">
        <f>RTD("rtdtrading.rtdserver",, "USIM5_B_0", "VEN")</f>
        <v>-</v>
      </c>
      <c r="AJ35" t="str">
        <f>RTD("rtdtrading.rtdserver",, "USIM5_B_0", "VAL")</f>
        <v>31/12/9999</v>
      </c>
      <c r="AK35">
        <f>RTD("rtdtrading.rtdserver",, "USIM5_B_0", "CAB")</f>
        <v>0</v>
      </c>
      <c r="AL35" t="str">
        <f>RTD("rtdtrading.rtdserver",, "USIM5_B_0", "EST")</f>
        <v>Aberto</v>
      </c>
      <c r="AM35" t="str">
        <f>RTD("rtdtrading.rtdserver",, "USIM5_B_0", "BLACK")</f>
        <v>-</v>
      </c>
      <c r="AN35" t="str">
        <f>RTD("rtdtrading.rtdserver",, "USIM5_B_0", "IMPVT")</f>
        <v>-</v>
      </c>
      <c r="AO35" t="str">
        <f>RTD("rtdtrading.rtdserver",, "USIM5_B_0", "DELTA")</f>
        <v>-</v>
      </c>
      <c r="AP35" t="str">
        <f>RTD("rtdtrading.rtdserver",, "USIM5_B_0", "GAMA")</f>
        <v>-</v>
      </c>
      <c r="AQ35" t="str">
        <f>RTD("rtdtrading.rtdserver",, "USIM5_B_0", "THETA")</f>
        <v>-</v>
      </c>
      <c r="AR35" t="str">
        <f>RTD("rtdtrading.rtdserver",, "USIM5_B_0", "RHO")</f>
        <v>-</v>
      </c>
      <c r="AS35" t="str">
        <f>RTD("rtdtrading.rtdserver",, "USIM5_B_0", "VEGA")</f>
        <v>-</v>
      </c>
      <c r="AT35" t="str">
        <f>RTD("rtdtrading.rtdserver",, "USIM5_B_0", "VIA")</f>
        <v>-</v>
      </c>
      <c r="AU35" t="str">
        <f>RTD("rtdtrading.rtdserver",, "USIM5_B_0", "VIB")</f>
        <v>-</v>
      </c>
      <c r="AV35" t="str">
        <f>RTD("rtdtrading.rtdserver",, "USIM5_B_0", "DOBRAR")</f>
        <v>-</v>
      </c>
      <c r="AW35" t="str">
        <f>RTD("rtdtrading.rtdserver",, "USIM5_B_0", "VIVH")</f>
        <v>-</v>
      </c>
      <c r="AX35" t="str">
        <f>RTD("rtdtrading.rtdserver",, "USIM5_B_0", "VINT")</f>
        <v>-</v>
      </c>
      <c r="AY35" t="str">
        <f>RTD("rtdtrading.rtdserver",, "USIM5_B_0", "VEXT")</f>
        <v>-</v>
      </c>
      <c r="AZ35" t="str">
        <f>RTD("rtdtrading.rtdserver",, "USIM5_B_0", "101_psicotrade")</f>
        <v>0,00 0,00</v>
      </c>
      <c r="BA35" t="str">
        <f>RTD("rtdtrading.rtdserver",, "USIM5_B_0", "67")</f>
        <v>6,39</v>
      </c>
    </row>
    <row r="36" spans="1:53" x14ac:dyDescent="0.35">
      <c r="A36" t="s">
        <v>117</v>
      </c>
      <c r="B36" t="str">
        <f>RTD("rtdtrading.rtdserver",, "INDFUT_F_0", "DAT")</f>
        <v>13/03/2026</v>
      </c>
      <c r="C36" t="str">
        <f>RTD("rtdtrading.rtdserver",, "INDFUT_F_0", "HOR")</f>
        <v>15:11:35</v>
      </c>
      <c r="D36">
        <f>RTD("rtdtrading.rtdserver",, "INDFUT_F_0", "ULT")</f>
        <v>180250</v>
      </c>
      <c r="E36">
        <f>RTD("rtdtrading.rtdserver",, "INDFUT_F_0", "ABE")</f>
        <v>182100</v>
      </c>
      <c r="F36">
        <f>RTD("rtdtrading.rtdserver",, "INDFUT_F_0", "MAX")</f>
        <v>183180</v>
      </c>
      <c r="G36">
        <f>RTD("rtdtrading.rtdserver",, "INDFUT_F_0", "MIN")</f>
        <v>179675</v>
      </c>
      <c r="H36">
        <f>RTD("rtdtrading.rtdserver",, "INDFUT_F_0", "FEC")</f>
        <v>181205</v>
      </c>
      <c r="I36">
        <f>RTD("rtdtrading.rtdserver",, "INDFUT_F_0", "PEX")</f>
        <v>0</v>
      </c>
      <c r="J36">
        <f>RTD("rtdtrading.rtdserver",, "INDFUT_F_0", "VAR")</f>
        <v>-0.52702739990618352</v>
      </c>
      <c r="K36">
        <f>RTD("rtdtrading.rtdserver",, "INDFUT_F_0", "VARPTS")</f>
        <v>-955</v>
      </c>
      <c r="L36">
        <f>RTD("rtdtrading.rtdserver",, "INDFUT_F_0", "MED")</f>
        <v>181559.06883380105</v>
      </c>
      <c r="M36" t="s">
        <v>118</v>
      </c>
      <c r="N36">
        <f>RTD("rtdtrading.rtdserver",, "INDFUT_F_0", "NEG")</f>
        <v>11420</v>
      </c>
      <c r="O36">
        <f>RTD("rtdtrading.rtdserver",, "INDFUT_F_0", "QUL")</f>
        <v>5</v>
      </c>
      <c r="P36">
        <f>RTD("rtdtrading.rtdserver",, "INDFUT_F_0", "QTT")</f>
        <v>64140</v>
      </c>
      <c r="Q36">
        <f>RTD("rtdtrading.rtdserver",, "INDFUT_F_0", "VOL")</f>
        <v>11645198675</v>
      </c>
      <c r="R36">
        <f>RTD("rtdtrading.rtdserver",, "INDFUT_F_0", "OCP")</f>
        <v>180255</v>
      </c>
      <c r="S36">
        <f>RTD("rtdtrading.rtdserver",, "INDFUT_F_0", "OVD")</f>
        <v>180270</v>
      </c>
      <c r="T36">
        <f>RTD("rtdtrading.rtdserver",, "INDFUT_F_0", "VOC")</f>
        <v>5</v>
      </c>
      <c r="U36">
        <f>RTD("rtdtrading.rtdserver",, "INDFUT_F_0", "VOV")</f>
        <v>5</v>
      </c>
      <c r="V36">
        <f>RTD("rtdtrading.rtdserver",, "INDFUT_F_0", "AJU")</f>
        <v>0</v>
      </c>
      <c r="W36">
        <f>RTD("rtdtrading.rtdserver",, "INDFUT_F_0", "AJA")</f>
        <v>181263</v>
      </c>
      <c r="X36">
        <f>RTD("rtdtrading.rtdserver",, "INDFUT_F_0", "PRT")</f>
        <v>0</v>
      </c>
      <c r="Y36">
        <f>RTD("rtdtrading.rtdserver",, "INDFUT_F_0", "QTE")</f>
        <v>0</v>
      </c>
      <c r="Z36">
        <f>RTD("rtdtrading.rtdserver",, "INDFUT_F_0", "VPJ")</f>
        <v>15637666225.002081</v>
      </c>
      <c r="AA36">
        <f>RTD("rtdtrading.rtdserver",, "INDFUT_F_0", "SEM")</f>
        <v>-1.0159253157605712</v>
      </c>
      <c r="AB36">
        <f>RTD("rtdtrading.rtdserver",, "INDFUT_F_0", "MES")</f>
        <v>-5.9237995824634657</v>
      </c>
      <c r="AC36">
        <f>RTD("rtdtrading.rtdserver",, "INDFUT_F_0", "3M")</f>
        <v>8.3655824898052149</v>
      </c>
      <c r="AD36">
        <f>RTD("rtdtrading.rtdserver",, "INDFUT_F_0", "6M")</f>
        <v>16.90545646570515</v>
      </c>
      <c r="AE36">
        <f>RTD("rtdtrading.rtdserver",, "INDFUT_F_0", "12M")</f>
        <v>27.726373473049815</v>
      </c>
      <c r="AF36">
        <f>RTD("rtdtrading.rtdserver",, "INDFUT_F_0", "ANO")</f>
        <v>8.1668394135599023</v>
      </c>
      <c r="AG36">
        <f>RTD("rtdtrading.rtdserver",, "INDFUT_F_0", "TRIM")</f>
        <v>8.1668394135599023</v>
      </c>
      <c r="AH36">
        <f>RTD("rtdtrading.rtdserver",, "INDFUT_F_0", "SEMES")</f>
        <v>8.1668394135599023</v>
      </c>
      <c r="AI36" t="str">
        <f>RTD("rtdtrading.rtdserver",, "INDFUT_F_0", "VEN")</f>
        <v>15/04/2026</v>
      </c>
      <c r="AJ36" t="str">
        <f>RTD("rtdtrading.rtdserver",, "INDFUT_F_0", "VAL")</f>
        <v>15/04/2026</v>
      </c>
      <c r="AK36">
        <f>RTD("rtdtrading.rtdserver",, "INDFUT_F_0", "CAB")</f>
        <v>183925</v>
      </c>
      <c r="AL36" t="str">
        <f>RTD("rtdtrading.rtdserver",, "INDFUT_F_0", "EST")</f>
        <v>Aberto</v>
      </c>
      <c r="AM36" t="str">
        <f>RTD("rtdtrading.rtdserver",, "INDFUT_F_0", "BLACK")</f>
        <v>-</v>
      </c>
      <c r="AN36" t="str">
        <f>RTD("rtdtrading.rtdserver",, "INDFUT_F_0", "IMPVT")</f>
        <v>-</v>
      </c>
      <c r="AO36" t="str">
        <f>RTD("rtdtrading.rtdserver",, "INDFUT_F_0", "DELTA")</f>
        <v>-</v>
      </c>
      <c r="AP36" t="str">
        <f>RTD("rtdtrading.rtdserver",, "INDFUT_F_0", "GAMA")</f>
        <v>-</v>
      </c>
      <c r="AQ36" t="str">
        <f>RTD("rtdtrading.rtdserver",, "INDFUT_F_0", "THETA")</f>
        <v>-</v>
      </c>
      <c r="AR36" t="str">
        <f>RTD("rtdtrading.rtdserver",, "INDFUT_F_0", "RHO")</f>
        <v>-</v>
      </c>
      <c r="AS36" t="str">
        <f>RTD("rtdtrading.rtdserver",, "INDFUT_F_0", "VEGA")</f>
        <v>-</v>
      </c>
      <c r="AT36" t="str">
        <f>RTD("rtdtrading.rtdserver",, "INDFUT_F_0", "VIA")</f>
        <v>-</v>
      </c>
      <c r="AU36" t="str">
        <f>RTD("rtdtrading.rtdserver",, "INDFUT_F_0", "VIB")</f>
        <v>-</v>
      </c>
      <c r="AV36" t="str">
        <f>RTD("rtdtrading.rtdserver",, "INDFUT_F_0", "DOBRAR")</f>
        <v>-</v>
      </c>
      <c r="AW36" t="str">
        <f>RTD("rtdtrading.rtdserver",, "INDFUT_F_0", "VIVH")</f>
        <v>-</v>
      </c>
      <c r="AX36" t="str">
        <f>RTD("rtdtrading.rtdserver",, "INDFUT_F_0", "VINT")</f>
        <v>-</v>
      </c>
      <c r="AY36" t="str">
        <f>RTD("rtdtrading.rtdserver",, "INDFUT_F_0", "VEXT")</f>
        <v>-</v>
      </c>
      <c r="AZ36" t="str">
        <f>RTD("rtdtrading.rtdserver",, "INDFUT_F_0", "101_psicotrade")</f>
        <v>0,00 0,00</v>
      </c>
      <c r="BA36" t="str">
        <f>RTD("rtdtrading.rtdserver",, "INDFUT_F_0", "67")</f>
        <v>181.035</v>
      </c>
    </row>
    <row r="37" spans="1:53" x14ac:dyDescent="0.35">
      <c r="A37" t="s">
        <v>100</v>
      </c>
      <c r="B37" t="str">
        <f>RTD("rtdtrading.rtdserver",, "GGBR4_B_0", "DAT")</f>
        <v>13/03/2026</v>
      </c>
      <c r="C37" t="str">
        <f>RTD("rtdtrading.rtdserver",, "GGBR4_B_0", "HOR")</f>
        <v>15:11:38</v>
      </c>
      <c r="D37">
        <f>RTD("rtdtrading.rtdserver",, "GGBR4_B_0", "ULT")</f>
        <v>17.829999999999998</v>
      </c>
      <c r="E37">
        <f>RTD("rtdtrading.rtdserver",, "GGBR4_B_0", "ABE")</f>
        <v>18.100000000000001</v>
      </c>
      <c r="F37">
        <f>RTD("rtdtrading.rtdserver",, "GGBR4_B_0", "MAX")</f>
        <v>18.3</v>
      </c>
      <c r="G37">
        <f>RTD("rtdtrading.rtdserver",, "GGBR4_B_0", "MIN")</f>
        <v>17.79</v>
      </c>
      <c r="H37">
        <f>RTD("rtdtrading.rtdserver",, "GGBR4_B_0", "FEC")</f>
        <v>18.03</v>
      </c>
      <c r="I37">
        <f>RTD("rtdtrading.rtdserver",, "GGBR4_B_0", "PEX")</f>
        <v>0</v>
      </c>
      <c r="J37">
        <f>RTD("rtdtrading.rtdserver",, "GGBR4_B_0", "VAR")</f>
        <v>-1.1092623405435542</v>
      </c>
      <c r="K37">
        <f>RTD("rtdtrading.rtdserver",, "GGBR4_B_0", "VARPTS")</f>
        <v>-0.20000000000000284</v>
      </c>
      <c r="L37">
        <f>RTD("rtdtrading.rtdserver",, "GGBR4_B_0", "MED")</f>
        <v>18.054657328359006</v>
      </c>
      <c r="M37" t="s">
        <v>111</v>
      </c>
      <c r="N37">
        <f>RTD("rtdtrading.rtdserver",, "GGBR4_B_0", "NEG")</f>
        <v>17848</v>
      </c>
      <c r="O37">
        <f>RTD("rtdtrading.rtdserver",, "GGBR4_B_0", "QUL")</f>
        <v>100</v>
      </c>
      <c r="P37">
        <f>RTD("rtdtrading.rtdserver",, "GGBR4_B_0", "QTT")</f>
        <v>13107300</v>
      </c>
      <c r="Q37">
        <f>RTD("rtdtrading.rtdserver",, "GGBR4_B_0", "VOL")</f>
        <v>236647810</v>
      </c>
      <c r="R37">
        <f>RTD("rtdtrading.rtdserver",, "GGBR4_B_0", "OCP")</f>
        <v>17.830000000000002</v>
      </c>
      <c r="S37">
        <f>RTD("rtdtrading.rtdserver",, "GGBR4_B_0", "OVD")</f>
        <v>17.850000000000001</v>
      </c>
      <c r="T37">
        <f>RTD("rtdtrading.rtdserver",, "GGBR4_B_0", "VOC")</f>
        <v>10000</v>
      </c>
      <c r="U37">
        <f>RTD("rtdtrading.rtdserver",, "GGBR4_B_0", "VOV")</f>
        <v>11300</v>
      </c>
      <c r="V37">
        <f>RTD("rtdtrading.rtdserver",, "GGBR4_B_0", "AJU")</f>
        <v>0</v>
      </c>
      <c r="W37">
        <f>RTD("rtdtrading.rtdserver",, "GGBR4_B_0", "AJA")</f>
        <v>0</v>
      </c>
      <c r="X37">
        <f>RTD("rtdtrading.rtdserver",, "GGBR4_B_0", "PRT")</f>
        <v>0</v>
      </c>
      <c r="Y37">
        <f>RTD("rtdtrading.rtdserver",, "GGBR4_B_0", "QTE")</f>
        <v>0</v>
      </c>
      <c r="Z37">
        <f>RTD("rtdtrading.rtdserver",, "GGBR4_B_0", "VPJ")</f>
        <v>273376441.11669695</v>
      </c>
      <c r="AA37">
        <f>RTD("rtdtrading.rtdserver",, "GGBR4_B_0", "SEM")</f>
        <v>-5.1580610328888383</v>
      </c>
      <c r="AB37">
        <f>RTD("rtdtrading.rtdserver",, "GGBR4_B_0", "MES")</f>
        <v>-14.601553744025001</v>
      </c>
      <c r="AC37">
        <f>RTD("rtdtrading.rtdserver",, "GGBR4_B_0", "3M")</f>
        <v>-9.7425409777975833</v>
      </c>
      <c r="AD37">
        <f>RTD("rtdtrading.rtdserver",, "GGBR4_B_0", "6M")</f>
        <v>7.010605033039444</v>
      </c>
      <c r="AE37">
        <f>RTD("rtdtrading.rtdserver",, "GGBR4_B_0", "12M")</f>
        <v>11.767213279173539</v>
      </c>
      <c r="AF37">
        <f>RTD("rtdtrading.rtdserver",, "GGBR4_B_0", "ANO")</f>
        <v>-12.088670630811871</v>
      </c>
      <c r="AG37">
        <f>RTD("rtdtrading.rtdserver",, "GGBR4_B_0", "TRIM")</f>
        <v>-12.088670630811871</v>
      </c>
      <c r="AH37">
        <f>RTD("rtdtrading.rtdserver",, "GGBR4_B_0", "SEMES")</f>
        <v>-12.088670630811871</v>
      </c>
      <c r="AI37" t="str">
        <f>RTD("rtdtrading.rtdserver",, "GGBR4_B_0", "VEN")</f>
        <v>-</v>
      </c>
      <c r="AJ37" t="str">
        <f>RTD("rtdtrading.rtdserver",, "GGBR4_B_0", "VAL")</f>
        <v>31/12/9999</v>
      </c>
      <c r="AK37">
        <f>RTD("rtdtrading.rtdserver",, "GGBR4_B_0", "CAB")</f>
        <v>0</v>
      </c>
      <c r="AL37" t="str">
        <f>RTD("rtdtrading.rtdserver",, "GGBR4_B_0", "EST")</f>
        <v>Aberto</v>
      </c>
      <c r="AM37" t="str">
        <f>RTD("rtdtrading.rtdserver",, "GGBR4_B_0", "BLACK")</f>
        <v>-</v>
      </c>
      <c r="AN37" t="str">
        <f>RTD("rtdtrading.rtdserver",, "GGBR4_B_0", "IMPVT")</f>
        <v>-</v>
      </c>
      <c r="AO37" t="str">
        <f>RTD("rtdtrading.rtdserver",, "GGBR4_B_0", "DELTA")</f>
        <v>-</v>
      </c>
      <c r="AP37" t="str">
        <f>RTD("rtdtrading.rtdserver",, "GGBR4_B_0", "GAMA")</f>
        <v>-</v>
      </c>
      <c r="AQ37" t="str">
        <f>RTD("rtdtrading.rtdserver",, "GGBR4_B_0", "THETA")</f>
        <v>-</v>
      </c>
      <c r="AR37" t="str">
        <f>RTD("rtdtrading.rtdserver",, "GGBR4_B_0", "RHO")</f>
        <v>-</v>
      </c>
      <c r="AS37" t="str">
        <f>RTD("rtdtrading.rtdserver",, "GGBR4_B_0", "VEGA")</f>
        <v>-</v>
      </c>
      <c r="AT37" t="str">
        <f>RTD("rtdtrading.rtdserver",, "GGBR4_B_0", "VIA")</f>
        <v>-</v>
      </c>
      <c r="AU37" t="str">
        <f>RTD("rtdtrading.rtdserver",, "GGBR4_B_0", "VIB")</f>
        <v>-</v>
      </c>
      <c r="AV37" t="str">
        <f>RTD("rtdtrading.rtdserver",, "GGBR4_B_0", "DOBRAR")</f>
        <v>-</v>
      </c>
      <c r="AW37" t="str">
        <f>RTD("rtdtrading.rtdserver",, "GGBR4_B_0", "VIVH")</f>
        <v>-</v>
      </c>
      <c r="AX37" t="str">
        <f>RTD("rtdtrading.rtdserver",, "GGBR4_B_0", "VINT")</f>
        <v>-</v>
      </c>
      <c r="AY37" t="str">
        <f>RTD("rtdtrading.rtdserver",, "GGBR4_B_0", "VEXT")</f>
        <v>-</v>
      </c>
      <c r="AZ37" t="str">
        <f>RTD("rtdtrading.rtdserver",, "GGBR4_B_0", "101_psicotrade")</f>
        <v>0,00 0,00</v>
      </c>
      <c r="BA37" t="str">
        <f>RTD("rtdtrading.rtdserver",, "GGBR4_B_0", "67")</f>
        <v>18,05</v>
      </c>
    </row>
    <row r="38" spans="1:53" x14ac:dyDescent="0.35">
      <c r="A38" t="s">
        <v>101</v>
      </c>
      <c r="B38" t="str">
        <f>RTD("rtdtrading.rtdserver",, "ABEV3_B_0", "DAT")</f>
        <v>13/03/2026</v>
      </c>
      <c r="C38" t="str">
        <f>RTD("rtdtrading.rtdserver",, "ABEV3_B_0", "HOR")</f>
        <v>15:11:37</v>
      </c>
      <c r="D38">
        <f>RTD("rtdtrading.rtdserver",, "ABEV3_B_0", "ULT")</f>
        <v>15.11</v>
      </c>
      <c r="E38">
        <f>RTD("rtdtrading.rtdserver",, "ABEV3_B_0", "ABE")</f>
        <v>14.87</v>
      </c>
      <c r="F38">
        <f>RTD("rtdtrading.rtdserver",, "ABEV3_B_0", "MAX")</f>
        <v>15.23</v>
      </c>
      <c r="G38">
        <f>RTD("rtdtrading.rtdserver",, "ABEV3_B_0", "MIN")</f>
        <v>14.87</v>
      </c>
      <c r="H38">
        <f>RTD("rtdtrading.rtdserver",, "ABEV3_B_0", "FEC")</f>
        <v>14.950000000000001</v>
      </c>
      <c r="I38">
        <f>RTD("rtdtrading.rtdserver",, "ABEV3_B_0", "PEX")</f>
        <v>0</v>
      </c>
      <c r="J38">
        <f>RTD("rtdtrading.rtdserver",, "ABEV3_B_0", "VAR")</f>
        <v>1.0702341137123637</v>
      </c>
      <c r="K38" s="1">
        <f>RTD("rtdtrading.rtdserver",, "ABEV3_B_0", "VARPTS")</f>
        <v>0.15999999999999837</v>
      </c>
      <c r="L38">
        <f>RTD("rtdtrading.rtdserver",, "ABEV3_B_0", "MED")</f>
        <v>15.128139083981091</v>
      </c>
      <c r="M38" t="s">
        <v>102</v>
      </c>
      <c r="N38">
        <f>RTD("rtdtrading.rtdserver",, "ABEV3_B_0", "NEG")</f>
        <v>14878</v>
      </c>
      <c r="O38">
        <f>RTD("rtdtrading.rtdserver",, "ABEV3_B_0", "QUL")</f>
        <v>500</v>
      </c>
      <c r="P38">
        <f>RTD("rtdtrading.rtdserver",, "ABEV3_B_0", "QTT")</f>
        <v>17071700</v>
      </c>
      <c r="Q38">
        <f>RTD("rtdtrading.rtdserver",, "ABEV3_B_0", "VOL")</f>
        <v>258263052</v>
      </c>
      <c r="R38">
        <f>RTD("rtdtrading.rtdserver",, "ABEV3_B_0", "OCP")</f>
        <v>15.11</v>
      </c>
      <c r="S38">
        <f>RTD("rtdtrading.rtdserver",, "ABEV3_B_0", "OVD")</f>
        <v>15.120000000000001</v>
      </c>
      <c r="T38">
        <f>RTD("rtdtrading.rtdserver",, "ABEV3_B_0", "VOC")</f>
        <v>43100</v>
      </c>
      <c r="U38">
        <f>RTD("rtdtrading.rtdserver",, "ABEV3_B_0", "VOV")</f>
        <v>44500</v>
      </c>
      <c r="V38">
        <f>RTD("rtdtrading.rtdserver",, "ABEV3_B_0", "AJU")</f>
        <v>0</v>
      </c>
      <c r="W38">
        <f>RTD("rtdtrading.rtdserver",, "ABEV3_B_0", "AJA")</f>
        <v>0</v>
      </c>
      <c r="X38">
        <f>RTD("rtdtrading.rtdserver",, "ABEV3_B_0", "PRT")</f>
        <v>0</v>
      </c>
      <c r="Y38">
        <f>RTD("rtdtrading.rtdserver",, "ABEV3_B_0", "QTE")</f>
        <v>0</v>
      </c>
      <c r="Z38">
        <f>RTD("rtdtrading.rtdserver",, "ABEV3_B_0", "VPJ")</f>
        <v>298362406.97438091</v>
      </c>
      <c r="AA38">
        <f>RTD("rtdtrading.rtdserver",, "ABEV3_B_0", "SEM")</f>
        <v>-0.78791858174655938</v>
      </c>
      <c r="AB38">
        <f>RTD("rtdtrading.rtdserver",, "ABEV3_B_0", "MES")</f>
        <v>-7.1296865396435161</v>
      </c>
      <c r="AC38">
        <f>RTD("rtdtrading.rtdserver",, "ABEV3_B_0", "3M")</f>
        <v>15.369051163998124</v>
      </c>
      <c r="AD38">
        <f>RTD("rtdtrading.rtdserver",, "ABEV3_B_0", "6M")</f>
        <v>26.980125215345179</v>
      </c>
      <c r="AE38">
        <f>RTD("rtdtrading.rtdserver",, "ABEV3_B_0", "12M")</f>
        <v>25.550477773161607</v>
      </c>
      <c r="AF38">
        <f>RTD("rtdtrading.rtdserver",, "ABEV3_B_0", "ANO")</f>
        <v>9.0187590187590061</v>
      </c>
      <c r="AG38">
        <f>RTD("rtdtrading.rtdserver",, "ABEV3_B_0", "TRIM")</f>
        <v>9.0187590187590061</v>
      </c>
      <c r="AH38">
        <f>RTD("rtdtrading.rtdserver",, "ABEV3_B_0", "SEMES")</f>
        <v>9.0187590187590061</v>
      </c>
      <c r="AI38" t="str">
        <f>RTD("rtdtrading.rtdserver",, "ABEV3_B_0", "VEN")</f>
        <v>-</v>
      </c>
      <c r="AJ38" t="str">
        <f>RTD("rtdtrading.rtdserver",, "ABEV3_B_0", "VAL")</f>
        <v>31/12/9999</v>
      </c>
      <c r="AK38">
        <f>RTD("rtdtrading.rtdserver",, "ABEV3_B_0", "CAB")</f>
        <v>0</v>
      </c>
      <c r="AL38" t="str">
        <f>RTD("rtdtrading.rtdserver",, "ABEV3_B_0", "EST")</f>
        <v>Aberto</v>
      </c>
      <c r="AM38" t="str">
        <f>RTD("rtdtrading.rtdserver",, "ABEV3_B_0", "BLACK")</f>
        <v>-</v>
      </c>
      <c r="AN38" t="str">
        <f>RTD("rtdtrading.rtdserver",, "ABEV3_B_0", "IMPVT")</f>
        <v>-</v>
      </c>
      <c r="AO38" t="str">
        <f>RTD("rtdtrading.rtdserver",, "ABEV3_B_0", "DELTA")</f>
        <v>-</v>
      </c>
      <c r="AP38" t="str">
        <f>RTD("rtdtrading.rtdserver",, "ABEV3_B_0", "GAMA")</f>
        <v>-</v>
      </c>
      <c r="AQ38" t="str">
        <f>RTD("rtdtrading.rtdserver",, "ABEV3_B_0", "THETA")</f>
        <v>-</v>
      </c>
      <c r="AR38" t="str">
        <f>RTD("rtdtrading.rtdserver",, "ABEV3_B_0", "RHO")</f>
        <v>-</v>
      </c>
      <c r="AS38" t="str">
        <f>RTD("rtdtrading.rtdserver",, "ABEV3_B_0", "VEGA")</f>
        <v>-</v>
      </c>
      <c r="AT38" t="str">
        <f>RTD("rtdtrading.rtdserver",, "ABEV3_B_0", "VIA")</f>
        <v>-</v>
      </c>
      <c r="AU38" t="str">
        <f>RTD("rtdtrading.rtdserver",, "ABEV3_B_0", "VIB")</f>
        <v>-</v>
      </c>
      <c r="AV38" t="str">
        <f>RTD("rtdtrading.rtdserver",, "ABEV3_B_0", "DOBRAR")</f>
        <v>-</v>
      </c>
      <c r="AW38" t="str">
        <f>RTD("rtdtrading.rtdserver",, "ABEV3_B_0", "VIVH")</f>
        <v>-</v>
      </c>
      <c r="AX38" t="str">
        <f>RTD("rtdtrading.rtdserver",, "ABEV3_B_0", "VINT")</f>
        <v>-</v>
      </c>
      <c r="AY38" t="str">
        <f>RTD("rtdtrading.rtdserver",, "ABEV3_B_0", "VEXT")</f>
        <v>-</v>
      </c>
      <c r="AZ38" t="str">
        <f>RTD("rtdtrading.rtdserver",, "ABEV3_B_0", "101_psicotrade")</f>
        <v>0,00 0,00</v>
      </c>
      <c r="BA38" t="str">
        <f>RTD("rtdtrading.rtdserver",, "ABEV3_B_0", "67")</f>
        <v>15,13</v>
      </c>
    </row>
    <row r="39" spans="1:53" x14ac:dyDescent="0.35">
      <c r="A39" t="s">
        <v>103</v>
      </c>
      <c r="B39" t="str">
        <f>RTD("rtdtrading.rtdserver",, "GOAU4_B_0", "DAT")</f>
        <v>13/03/2026</v>
      </c>
      <c r="C39" t="str">
        <f>RTD("rtdtrading.rtdserver",, "GOAU4_B_0", "HOR")</f>
        <v>15:11:39</v>
      </c>
      <c r="D39">
        <f>RTD("rtdtrading.rtdserver",, "GOAU4_B_0", "ULT")</f>
        <v>8.06</v>
      </c>
      <c r="E39">
        <f>RTD("rtdtrading.rtdserver",, "GOAU4_B_0", "ABE")</f>
        <v>8.2100000000000009</v>
      </c>
      <c r="F39">
        <f>RTD("rtdtrading.rtdserver",, "GOAU4_B_0", "MAX")</f>
        <v>8.27</v>
      </c>
      <c r="G39">
        <f>RTD("rtdtrading.rtdserver",, "GOAU4_B_0", "MIN")</f>
        <v>8.0299999999999994</v>
      </c>
      <c r="H39">
        <f>RTD("rtdtrading.rtdserver",, "GOAU4_B_0", "FEC")</f>
        <v>8.16</v>
      </c>
      <c r="I39">
        <f>RTD("rtdtrading.rtdserver",, "GOAU4_B_0", "PEX")</f>
        <v>0</v>
      </c>
      <c r="J39">
        <f>RTD("rtdtrading.rtdserver",, "GOAU4_B_0", "VAR")</f>
        <v>-1.225490196078427</v>
      </c>
      <c r="K39">
        <f>RTD("rtdtrading.rtdserver",, "GOAU4_B_0", "VARPTS")</f>
        <v>-9.9999999999999645E-2</v>
      </c>
      <c r="L39">
        <f>RTD("rtdtrading.rtdserver",, "GOAU4_B_0", "MED")</f>
        <v>8.1309001283983697</v>
      </c>
      <c r="M39" t="s">
        <v>112</v>
      </c>
      <c r="N39">
        <f>RTD("rtdtrading.rtdserver",, "GOAU4_B_0", "NEG")</f>
        <v>7622</v>
      </c>
      <c r="O39">
        <f>RTD("rtdtrading.rtdserver",, "GOAU4_B_0", "QUL")</f>
        <v>300</v>
      </c>
      <c r="P39">
        <f>RTD("rtdtrading.rtdserver",, "GOAU4_B_0", "QTT")</f>
        <v>8956500</v>
      </c>
      <c r="Q39">
        <f>RTD("rtdtrading.rtdserver",, "GOAU4_B_0", "VOL")</f>
        <v>72824407</v>
      </c>
      <c r="R39">
        <f>RTD("rtdtrading.rtdserver",, "GOAU4_B_0", "OCP")</f>
        <v>8.06</v>
      </c>
      <c r="S39">
        <f>RTD("rtdtrading.rtdserver",, "GOAU4_B_0", "OVD")</f>
        <v>8.07</v>
      </c>
      <c r="T39">
        <f>RTD("rtdtrading.rtdserver",, "GOAU4_B_0", "VOC")</f>
        <v>4300</v>
      </c>
      <c r="U39">
        <f>RTD("rtdtrading.rtdserver",, "GOAU4_B_0", "VOV")</f>
        <v>93800</v>
      </c>
      <c r="V39">
        <f>RTD("rtdtrading.rtdserver",, "GOAU4_B_0", "AJU")</f>
        <v>0</v>
      </c>
      <c r="W39">
        <f>RTD("rtdtrading.rtdserver",, "GOAU4_B_0", "AJA")</f>
        <v>0</v>
      </c>
      <c r="X39">
        <f>RTD("rtdtrading.rtdserver",, "GOAU4_B_0", "PRT")</f>
        <v>0</v>
      </c>
      <c r="Y39">
        <f>RTD("rtdtrading.rtdserver",, "GOAU4_B_0", "QTE")</f>
        <v>0</v>
      </c>
      <c r="Z39">
        <f>RTD("rtdtrading.rtdserver",, "GOAU4_B_0", "VPJ")</f>
        <v>84122530.145997107</v>
      </c>
      <c r="AA39">
        <f>RTD("rtdtrading.rtdserver",, "GOAU4_B_0", "SEM")</f>
        <v>-5.0670184447951669</v>
      </c>
      <c r="AB39">
        <f>RTD("rtdtrading.rtdserver",, "GOAU4_B_0", "MES")</f>
        <v>-13.197996876851006</v>
      </c>
      <c r="AC39">
        <f>RTD("rtdtrading.rtdserver",, "GOAU4_B_0", "3M")</f>
        <v>-6.2496365137892145</v>
      </c>
      <c r="AD39">
        <f>RTD("rtdtrading.rtdserver",, "GOAU4_B_0", "6M")</f>
        <v>14.550467581933438</v>
      </c>
      <c r="AE39">
        <f>RTD("rtdtrading.rtdserver",, "GOAU4_B_0", "12M")</f>
        <v>23.636698317252392</v>
      </c>
      <c r="AF39">
        <f>RTD("rtdtrading.rtdserver",, "GOAU4_B_0", "ANO")</f>
        <v>-9.9189717798267605</v>
      </c>
      <c r="AG39">
        <f>RTD("rtdtrading.rtdserver",, "GOAU4_B_0", "TRIM")</f>
        <v>-9.9189717798267605</v>
      </c>
      <c r="AH39">
        <f>RTD("rtdtrading.rtdserver",, "GOAU4_B_0", "SEMES")</f>
        <v>-9.9189717798267605</v>
      </c>
      <c r="AI39" t="str">
        <f>RTD("rtdtrading.rtdserver",, "GOAU4_B_0", "VEN")</f>
        <v>-</v>
      </c>
      <c r="AJ39" t="str">
        <f>RTD("rtdtrading.rtdserver",, "GOAU4_B_0", "VAL")</f>
        <v>31/12/9999</v>
      </c>
      <c r="AK39">
        <f>RTD("rtdtrading.rtdserver",, "GOAU4_B_0", "CAB")</f>
        <v>0</v>
      </c>
      <c r="AL39" t="str">
        <f>RTD("rtdtrading.rtdserver",, "GOAU4_B_0", "EST")</f>
        <v>Aberto</v>
      </c>
      <c r="AM39" t="str">
        <f>RTD("rtdtrading.rtdserver",, "GOAU4_B_0", "BLACK")</f>
        <v>-</v>
      </c>
      <c r="AN39" t="str">
        <f>RTD("rtdtrading.rtdserver",, "GOAU4_B_0", "IMPVT")</f>
        <v>-</v>
      </c>
      <c r="AO39" t="str">
        <f>RTD("rtdtrading.rtdserver",, "GOAU4_B_0", "DELTA")</f>
        <v>-</v>
      </c>
      <c r="AP39" t="str">
        <f>RTD("rtdtrading.rtdserver",, "GOAU4_B_0", "GAMA")</f>
        <v>-</v>
      </c>
      <c r="AQ39" t="str">
        <f>RTD("rtdtrading.rtdserver",, "GOAU4_B_0", "THETA")</f>
        <v>-</v>
      </c>
      <c r="AR39" t="str">
        <f>RTD("rtdtrading.rtdserver",, "GOAU4_B_0", "RHO")</f>
        <v>-</v>
      </c>
      <c r="AS39" t="str">
        <f>RTD("rtdtrading.rtdserver",, "GOAU4_B_0", "VEGA")</f>
        <v>-</v>
      </c>
      <c r="AT39" t="str">
        <f>RTD("rtdtrading.rtdserver",, "GOAU4_B_0", "VIA")</f>
        <v>-</v>
      </c>
      <c r="AU39" t="str">
        <f>RTD("rtdtrading.rtdserver",, "GOAU4_B_0", "VIB")</f>
        <v>-</v>
      </c>
      <c r="AV39" t="str">
        <f>RTD("rtdtrading.rtdserver",, "GOAU4_B_0", "DOBRAR")</f>
        <v>-</v>
      </c>
      <c r="AW39" t="str">
        <f>RTD("rtdtrading.rtdserver",, "GOAU4_B_0", "VIVH")</f>
        <v>-</v>
      </c>
      <c r="AX39" t="str">
        <f>RTD("rtdtrading.rtdserver",, "GOAU4_B_0", "VINT")</f>
        <v>-</v>
      </c>
      <c r="AY39" t="str">
        <f>RTD("rtdtrading.rtdserver",, "GOAU4_B_0", "VEXT")</f>
        <v>-</v>
      </c>
      <c r="AZ39" t="str">
        <f>RTD("rtdtrading.rtdserver",, "GOAU4_B_0", "101_psicotrade")</f>
        <v>0,00 0,00</v>
      </c>
      <c r="BA39" t="str">
        <f>RTD("rtdtrading.rtdserver",, "GOAU4_B_0", "67")</f>
        <v>8,13</v>
      </c>
    </row>
    <row r="40" spans="1:53" x14ac:dyDescent="0.35">
      <c r="A40" t="s">
        <v>104</v>
      </c>
      <c r="B40" t="str">
        <f>RTD("rtdtrading.rtdserver",, "B3SA3_B_0", "DAT")</f>
        <v>13/03/2026</v>
      </c>
      <c r="C40" t="str">
        <f>RTD("rtdtrading.rtdserver",, "B3SA3_B_0", "HOR")</f>
        <v>15:11:39</v>
      </c>
      <c r="D40">
        <f>RTD("rtdtrading.rtdserver",, "B3SA3_B_0", "ULT")</f>
        <v>16.989999999999998</v>
      </c>
      <c r="E40">
        <f>RTD("rtdtrading.rtdserver",, "B3SA3_B_0", "ABE")</f>
        <v>17.34</v>
      </c>
      <c r="F40">
        <f>RTD("rtdtrading.rtdserver",, "B3SA3_B_0", "MAX")</f>
        <v>17.600000000000001</v>
      </c>
      <c r="G40">
        <f>RTD("rtdtrading.rtdserver",, "B3SA3_B_0", "MIN")</f>
        <v>16.86</v>
      </c>
      <c r="H40">
        <f>RTD("rtdtrading.rtdserver",, "B3SA3_B_0", "FEC")</f>
        <v>17.14</v>
      </c>
      <c r="I40">
        <f>RTD("rtdtrading.rtdserver",, "B3SA3_B_0", "PEX")</f>
        <v>0</v>
      </c>
      <c r="J40">
        <f>RTD("rtdtrading.rtdserver",, "B3SA3_B_0", "VAR")</f>
        <v>-0.87514585764295294</v>
      </c>
      <c r="K40">
        <f>RTD("rtdtrading.rtdserver",, "B3SA3_B_0", "VARPTS")</f>
        <v>-0.15000000000000213</v>
      </c>
      <c r="L40">
        <f>RTD("rtdtrading.rtdserver",, "B3SA3_B_0", "MED")</f>
        <v>17.244809544397398</v>
      </c>
      <c r="M40" t="s">
        <v>105</v>
      </c>
      <c r="N40">
        <f>RTD("rtdtrading.rtdserver",, "B3SA3_B_0", "NEG")</f>
        <v>25800</v>
      </c>
      <c r="O40">
        <f>RTD("rtdtrading.rtdserver",, "B3SA3_B_0", "QUL")</f>
        <v>300</v>
      </c>
      <c r="P40">
        <f>RTD("rtdtrading.rtdserver",, "B3SA3_B_0", "QTT")</f>
        <v>13415200</v>
      </c>
      <c r="Q40">
        <f>RTD("rtdtrading.rtdserver",, "B3SA3_B_0", "VOL")</f>
        <v>231342569</v>
      </c>
      <c r="R40">
        <f>RTD("rtdtrading.rtdserver",, "B3SA3_B_0", "OCP")</f>
        <v>16.990000000000002</v>
      </c>
      <c r="S40">
        <f>RTD("rtdtrading.rtdserver",, "B3SA3_B_0", "OVD")</f>
        <v>17.010000000000002</v>
      </c>
      <c r="T40">
        <f>RTD("rtdtrading.rtdserver",, "B3SA3_B_0", "VOC")</f>
        <v>21200</v>
      </c>
      <c r="U40">
        <f>RTD("rtdtrading.rtdserver",, "B3SA3_B_0", "VOV")</f>
        <v>18400</v>
      </c>
      <c r="V40">
        <f>RTD("rtdtrading.rtdserver",, "B3SA3_B_0", "AJU")</f>
        <v>0</v>
      </c>
      <c r="W40">
        <f>RTD("rtdtrading.rtdserver",, "B3SA3_B_0", "AJA")</f>
        <v>0</v>
      </c>
      <c r="X40">
        <f>RTD("rtdtrading.rtdserver",, "B3SA3_B_0", "PRT")</f>
        <v>0</v>
      </c>
      <c r="Y40">
        <f>RTD("rtdtrading.rtdserver",, "B3SA3_B_0", "QTE")</f>
        <v>0</v>
      </c>
      <c r="Z40">
        <f>RTD("rtdtrading.rtdserver",, "B3SA3_B_0", "VPJ")</f>
        <v>267233514.64784214</v>
      </c>
      <c r="AA40">
        <f>RTD("rtdtrading.rtdserver",, "B3SA3_B_0", "SEM")</f>
        <v>-1.4501160092807628</v>
      </c>
      <c r="AB40">
        <f>RTD("rtdtrading.rtdserver",, "B3SA3_B_0", "MES")</f>
        <v>-5.0837988826815845</v>
      </c>
      <c r="AC40">
        <f>RTD("rtdtrading.rtdserver",, "B3SA3_B_0", "3M")</f>
        <v>21.643003916346256</v>
      </c>
      <c r="AD40">
        <f>RTD("rtdtrading.rtdserver",, "B3SA3_B_0", "6M")</f>
        <v>33.248631436951968</v>
      </c>
      <c r="AE40">
        <f>RTD("rtdtrading.rtdserver",, "B3SA3_B_0", "12M")</f>
        <v>67.993276313837924</v>
      </c>
      <c r="AF40">
        <f>RTD("rtdtrading.rtdserver",, "B3SA3_B_0", "ANO")</f>
        <v>25.234030634057149</v>
      </c>
      <c r="AG40">
        <f>RTD("rtdtrading.rtdserver",, "B3SA3_B_0", "TRIM")</f>
        <v>25.234030634057149</v>
      </c>
      <c r="AH40">
        <f>RTD("rtdtrading.rtdserver",, "B3SA3_B_0", "SEMES")</f>
        <v>25.234030634057149</v>
      </c>
      <c r="AI40" t="str">
        <f>RTD("rtdtrading.rtdserver",, "B3SA3_B_0", "VEN")</f>
        <v>-</v>
      </c>
      <c r="AJ40" t="str">
        <f>RTD("rtdtrading.rtdserver",, "B3SA3_B_0", "VAL")</f>
        <v>31/12/9999</v>
      </c>
      <c r="AK40">
        <f>RTD("rtdtrading.rtdserver",, "B3SA3_B_0", "CAB")</f>
        <v>0</v>
      </c>
      <c r="AL40" t="str">
        <f>RTD("rtdtrading.rtdserver",, "B3SA3_B_0", "EST")</f>
        <v>Aberto</v>
      </c>
      <c r="AM40" t="str">
        <f>RTD("rtdtrading.rtdserver",, "B3SA3_B_0", "BLACK")</f>
        <v>-</v>
      </c>
      <c r="AN40" t="str">
        <f>RTD("rtdtrading.rtdserver",, "B3SA3_B_0", "IMPVT")</f>
        <v>-</v>
      </c>
      <c r="AO40" t="str">
        <f>RTD("rtdtrading.rtdserver",, "B3SA3_B_0", "DELTA")</f>
        <v>-</v>
      </c>
      <c r="AP40" t="str">
        <f>RTD("rtdtrading.rtdserver",, "B3SA3_B_0", "GAMA")</f>
        <v>-</v>
      </c>
      <c r="AQ40" t="str">
        <f>RTD("rtdtrading.rtdserver",, "B3SA3_B_0", "THETA")</f>
        <v>-</v>
      </c>
      <c r="AR40" t="str">
        <f>RTD("rtdtrading.rtdserver",, "B3SA3_B_0", "RHO")</f>
        <v>-</v>
      </c>
      <c r="AS40" t="str">
        <f>RTD("rtdtrading.rtdserver",, "B3SA3_B_0", "VEGA")</f>
        <v>-</v>
      </c>
      <c r="AT40" t="str">
        <f>RTD("rtdtrading.rtdserver",, "B3SA3_B_0", "VIA")</f>
        <v>-</v>
      </c>
      <c r="AU40" t="str">
        <f>RTD("rtdtrading.rtdserver",, "B3SA3_B_0", "VIB")</f>
        <v>-</v>
      </c>
      <c r="AV40" t="str">
        <f>RTD("rtdtrading.rtdserver",, "B3SA3_B_0", "DOBRAR")</f>
        <v>-</v>
      </c>
      <c r="AW40" t="str">
        <f>RTD("rtdtrading.rtdserver",, "B3SA3_B_0", "VIVH")</f>
        <v>-</v>
      </c>
      <c r="AX40" t="str">
        <f>RTD("rtdtrading.rtdserver",, "B3SA3_B_0", "VINT")</f>
        <v>-</v>
      </c>
      <c r="AY40" t="str">
        <f>RTD("rtdtrading.rtdserver",, "B3SA3_B_0", "VEXT")</f>
        <v>-</v>
      </c>
      <c r="AZ40" t="str">
        <f>RTD("rtdtrading.rtdserver",, "B3SA3_B_0", "101_psicotrade")</f>
        <v>0,00 0,00</v>
      </c>
      <c r="BA40" t="str">
        <f>RTD("rtdtrading.rtdserver",, "B3SA3_B_0", "67")</f>
        <v>17,24</v>
      </c>
    </row>
    <row r="41" spans="1:53" x14ac:dyDescent="0.35">
      <c r="A41" t="s">
        <v>52</v>
      </c>
      <c r="B41" t="str">
        <f>RTD("rtdtrading.rtdserver",, "WDOFUT_F_0", "DAT")</f>
        <v>13/03/2026</v>
      </c>
      <c r="C41" t="str">
        <f>RTD("rtdtrading.rtdserver",, "WDOFUT_F_0", "HOR")</f>
        <v>15:11:39</v>
      </c>
      <c r="D41">
        <f>RTD("rtdtrading.rtdserver",, "WDOFUT_F_0", "ULT")</f>
        <v>5321.5</v>
      </c>
      <c r="E41">
        <f>RTD("rtdtrading.rtdserver",, "WDOFUT_F_0", "ABE")</f>
        <v>5262</v>
      </c>
      <c r="F41">
        <f>RTD("rtdtrading.rtdserver",, "WDOFUT_F_0", "MAX")</f>
        <v>5327.5</v>
      </c>
      <c r="G41">
        <f>RTD("rtdtrading.rtdserver",, "WDOFUT_F_0", "MIN")</f>
        <v>5237.5</v>
      </c>
      <c r="H41">
        <f>RTD("rtdtrading.rtdserver",, "WDOFUT_F_0", "FEC")</f>
        <v>5281</v>
      </c>
      <c r="I41">
        <f>RTD("rtdtrading.rtdserver",, "WDOFUT_F_0", "PEX")</f>
        <v>0</v>
      </c>
      <c r="J41">
        <f>RTD("rtdtrading.rtdserver",, "WDOFUT_F_0", "VAR")</f>
        <v>0.76690020829388372</v>
      </c>
      <c r="K41">
        <f>RTD("rtdtrading.rtdserver",, "WDOFUT_F_0", "VARPTS")</f>
        <v>40.5</v>
      </c>
      <c r="L41">
        <f>RTD("rtdtrading.rtdserver",, "WDOFUT_F_0", "MED")</f>
        <v>5279.4715550353121</v>
      </c>
      <c r="M41" t="s">
        <v>53</v>
      </c>
      <c r="N41">
        <f>RTD("rtdtrading.rtdserver",, "WDOFUT_F_0", "NEG")</f>
        <v>806683</v>
      </c>
      <c r="O41">
        <f>RTD("rtdtrading.rtdserver",, "WDOFUT_F_0", "QUL")</f>
        <v>2</v>
      </c>
      <c r="P41">
        <f>RTD("rtdtrading.rtdserver",, "WDOFUT_F_0", "QTT")</f>
        <v>3066940</v>
      </c>
      <c r="Q41">
        <f>RTD("rtdtrading.rtdserver",, "WDOFUT_F_0", "VOL")</f>
        <v>161918224910</v>
      </c>
      <c r="R41">
        <f>RTD("rtdtrading.rtdserver",, "WDOFUT_F_0", "OCP")</f>
        <v>5321.5</v>
      </c>
      <c r="S41">
        <f>RTD("rtdtrading.rtdserver",, "WDOFUT_F_0", "OVD")</f>
        <v>5322</v>
      </c>
      <c r="T41">
        <f>RTD("rtdtrading.rtdserver",, "WDOFUT_F_0", "VOC")</f>
        <v>70</v>
      </c>
      <c r="U41">
        <f>RTD("rtdtrading.rtdserver",, "WDOFUT_F_0", "VOV")</f>
        <v>270</v>
      </c>
      <c r="V41">
        <f>RTD("rtdtrading.rtdserver",, "WDOFUT_F_0", "AJU")</f>
        <v>0</v>
      </c>
      <c r="W41">
        <f>RTD("rtdtrading.rtdserver",, "WDOFUT_F_0", "AJA")</f>
        <v>5253.3280000000004</v>
      </c>
      <c r="X41">
        <f>RTD("rtdtrading.rtdserver",, "WDOFUT_F_0", "PRT")</f>
        <v>0</v>
      </c>
      <c r="Y41">
        <f>RTD("rtdtrading.rtdserver",, "WDOFUT_F_0", "QTE")</f>
        <v>0</v>
      </c>
      <c r="Z41">
        <f>RTD("rtdtrading.rtdserver",, "WDOFUT_F_0", "VPJ")</f>
        <v>217390533694.44205</v>
      </c>
      <c r="AA41">
        <f>RTD("rtdtrading.rtdserver",, "WDOFUT_F_0", "SEM")</f>
        <v>0.61448288901493664</v>
      </c>
      <c r="AB41">
        <f>RTD("rtdtrading.rtdserver",, "WDOFUT_F_0", "MES")</f>
        <v>2.9204138864713278</v>
      </c>
      <c r="AC41">
        <f>RTD("rtdtrading.rtdserver",, "WDOFUT_F_0", "3M")</f>
        <v>-4.1801135992964848</v>
      </c>
      <c r="AD41">
        <f>RTD("rtdtrading.rtdserver",, "WDOFUT_F_0", "6M")</f>
        <v>-5.8276611052823224</v>
      </c>
      <c r="AE41">
        <f>RTD("rtdtrading.rtdserver",, "WDOFUT_F_0", "12M")</f>
        <v>-16.016698010989916</v>
      </c>
      <c r="AF41">
        <f>RTD("rtdtrading.rtdserver",, "WDOFUT_F_0", "ANO")</f>
        <v>-4.9546819762137009</v>
      </c>
      <c r="AG41">
        <f>RTD("rtdtrading.rtdserver",, "WDOFUT_F_0", "TRIM")</f>
        <v>-4.9546819762137009</v>
      </c>
      <c r="AH41">
        <f>RTD("rtdtrading.rtdserver",, "WDOFUT_F_0", "SEMES")</f>
        <v>-4.9546819762137009</v>
      </c>
      <c r="AI41" t="str">
        <f>RTD("rtdtrading.rtdserver",, "WDOFUT_F_0", "VEN")</f>
        <v>01/04/2026</v>
      </c>
      <c r="AJ41" t="str">
        <f>RTD("rtdtrading.rtdserver",, "WDOFUT_F_0", "VAL")</f>
        <v>31/03/2026</v>
      </c>
      <c r="AK41">
        <f>RTD("rtdtrading.rtdserver",, "WDOFUT_F_0", "CAB")</f>
        <v>1376892</v>
      </c>
      <c r="AL41" t="str">
        <f>RTD("rtdtrading.rtdserver",, "WDOFUT_F_0", "EST")</f>
        <v>Aberto</v>
      </c>
      <c r="AM41" t="str">
        <f>RTD("rtdtrading.rtdserver",, "WDOFUT_F_0", "BLACK")</f>
        <v>-</v>
      </c>
      <c r="AN41" t="str">
        <f>RTD("rtdtrading.rtdserver",, "WDOFUT_F_0", "IMPVT")</f>
        <v>-</v>
      </c>
      <c r="AO41" t="str">
        <f>RTD("rtdtrading.rtdserver",, "WDOFUT_F_0", "DELTA")</f>
        <v>-</v>
      </c>
      <c r="AP41" t="str">
        <f>RTD("rtdtrading.rtdserver",, "WDOFUT_F_0", "GAMA")</f>
        <v>-</v>
      </c>
      <c r="AQ41" t="str">
        <f>RTD("rtdtrading.rtdserver",, "WDOFUT_F_0", "THETA")</f>
        <v>-</v>
      </c>
      <c r="AR41" t="str">
        <f>RTD("rtdtrading.rtdserver",, "WDOFUT_F_0", "RHO")</f>
        <v>-</v>
      </c>
      <c r="AS41" t="str">
        <f>RTD("rtdtrading.rtdserver",, "WDOFUT_F_0", "VEGA")</f>
        <v>-</v>
      </c>
      <c r="AT41" t="str">
        <f>RTD("rtdtrading.rtdserver",, "WDOFUT_F_0", "VIA")</f>
        <v>-</v>
      </c>
      <c r="AU41" t="str">
        <f>RTD("rtdtrading.rtdserver",, "WDOFUT_F_0", "VIB")</f>
        <v>-</v>
      </c>
      <c r="AV41" t="str">
        <f>RTD("rtdtrading.rtdserver",, "WDOFUT_F_0", "DOBRAR")</f>
        <v>-</v>
      </c>
      <c r="AW41" t="str">
        <f>RTD("rtdtrading.rtdserver",, "WDOFUT_F_0", "VIVH")</f>
        <v>-</v>
      </c>
      <c r="AX41" t="str">
        <f>RTD("rtdtrading.rtdserver",, "WDOFUT_F_0", "VINT")</f>
        <v>-</v>
      </c>
      <c r="AY41" t="str">
        <f>RTD("rtdtrading.rtdserver",, "WDOFUT_F_0", "VEXT")</f>
        <v>-</v>
      </c>
      <c r="AZ41" t="str">
        <f>RTD("rtdtrading.rtdserver",, "WDOFUT_F_0", "101_psicotrade")</f>
        <v>0,00 0,00</v>
      </c>
      <c r="BA41" t="str">
        <f>RTD("rtdtrading.rtdserver",, "WDOFUT_F_0", "67")</f>
        <v>5.279,472</v>
      </c>
    </row>
    <row r="42" spans="1:53" x14ac:dyDescent="0.35">
      <c r="A42" t="s">
        <v>54</v>
      </c>
      <c r="B42" t="str">
        <f>RTD("rtdtrading.rtdserver",, "WINFUT_F_0", "DAT")</f>
        <v>13/03/2026</v>
      </c>
      <c r="C42" t="str">
        <f>RTD("rtdtrading.rtdserver",, "WINFUT_F_0", "HOR")</f>
        <v>15:11:39</v>
      </c>
      <c r="D42">
        <f>RTD("rtdtrading.rtdserver",, "WINFUT_F_0", "ULT")</f>
        <v>180260</v>
      </c>
      <c r="E42">
        <f>RTD("rtdtrading.rtdserver",, "WINFUT_F_0", "ABE")</f>
        <v>182220</v>
      </c>
      <c r="F42">
        <f>RTD("rtdtrading.rtdserver",, "WINFUT_F_0", "MAX")</f>
        <v>183185</v>
      </c>
      <c r="G42">
        <f>RTD("rtdtrading.rtdserver",, "WINFUT_F_0", "MIN")</f>
        <v>179665</v>
      </c>
      <c r="H42">
        <f>RTD("rtdtrading.rtdserver",, "WINFUT_F_0", "FEC")</f>
        <v>181205</v>
      </c>
      <c r="I42">
        <f>RTD("rtdtrading.rtdserver",, "WINFUT_F_0", "PEX")</f>
        <v>0</v>
      </c>
      <c r="J42">
        <f>RTD("rtdtrading.rtdserver",, "WINFUT_F_0", "VAR")</f>
        <v>-0.5215087883888414</v>
      </c>
      <c r="K42">
        <f>RTD("rtdtrading.rtdserver",, "WINFUT_F_0", "VARPTS")</f>
        <v>-945</v>
      </c>
      <c r="L42">
        <f>RTD("rtdtrading.rtdserver",, "WINFUT_F_0", "MED")</f>
        <v>181604.48859953062</v>
      </c>
      <c r="M42" t="s">
        <v>55</v>
      </c>
      <c r="N42">
        <f>RTD("rtdtrading.rtdserver",, "WINFUT_F_0", "NEG")</f>
        <v>5762614</v>
      </c>
      <c r="O42">
        <f>RTD("rtdtrading.rtdserver",, "WINFUT_F_0", "QUL")</f>
        <v>2</v>
      </c>
      <c r="P42">
        <f>RTD("rtdtrading.rtdserver",, "WINFUT_F_0", "QTT")</f>
        <v>16616772</v>
      </c>
      <c r="Q42">
        <f>RTD("rtdtrading.rtdserver",, "WINFUT_F_0", "VOL")</f>
        <v>603536076247</v>
      </c>
      <c r="R42">
        <f>RTD("rtdtrading.rtdserver",, "WINFUT_F_0", "OCP")</f>
        <v>180260</v>
      </c>
      <c r="S42">
        <f>RTD("rtdtrading.rtdserver",, "WINFUT_F_0", "OVD")</f>
        <v>180265</v>
      </c>
      <c r="T42">
        <f>RTD("rtdtrading.rtdserver",, "WINFUT_F_0", "VOC")</f>
        <v>86</v>
      </c>
      <c r="U42">
        <f>RTD("rtdtrading.rtdserver",, "WINFUT_F_0", "VOV")</f>
        <v>119</v>
      </c>
      <c r="V42">
        <f>RTD("rtdtrading.rtdserver",, "WINFUT_F_0", "AJU")</f>
        <v>0</v>
      </c>
      <c r="W42">
        <f>RTD("rtdtrading.rtdserver",, "WINFUT_F_0", "AJA")</f>
        <v>181263</v>
      </c>
      <c r="X42">
        <f>RTD("rtdtrading.rtdserver",, "WINFUT_F_0", "PRT")</f>
        <v>0</v>
      </c>
      <c r="Y42">
        <f>RTD("rtdtrading.rtdserver",, "WINFUT_F_0", "QTE")</f>
        <v>0</v>
      </c>
      <c r="Z42">
        <f>RTD("rtdtrading.rtdserver",, "WINFUT_F_0", "VPJ")</f>
        <v>810304274223.06653</v>
      </c>
      <c r="AA42">
        <f>RTD("rtdtrading.rtdserver",, "WINFUT_F_0", "SEM")</f>
        <v>-0.98596577957210729</v>
      </c>
      <c r="AB42">
        <f>RTD("rtdtrading.rtdserver",, "WINFUT_F_0", "MES")</f>
        <v>-5.8940224484468802</v>
      </c>
      <c r="AC42">
        <f>RTD("rtdtrading.rtdserver",, "WINFUT_F_0", "3M")</f>
        <v>8.3642848245756163</v>
      </c>
      <c r="AD42">
        <f>RTD("rtdtrading.rtdserver",, "WINFUT_F_0", "6M")</f>
        <v>16.76972170055738</v>
      </c>
      <c r="AE42">
        <f>RTD("rtdtrading.rtdserver",, "WINFUT_F_0", "12M")</f>
        <v>27.51068943627768</v>
      </c>
      <c r="AF42">
        <f>RTD("rtdtrading.rtdserver",, "WINFUT_F_0", "ANO")</f>
        <v>7.9128249238037105</v>
      </c>
      <c r="AG42">
        <f>RTD("rtdtrading.rtdserver",, "WINFUT_F_0", "TRIM")</f>
        <v>7.9128249238037105</v>
      </c>
      <c r="AH42">
        <f>RTD("rtdtrading.rtdserver",, "WINFUT_F_0", "SEMES")</f>
        <v>7.9128249238037105</v>
      </c>
      <c r="AI42" t="str">
        <f>RTD("rtdtrading.rtdserver",, "WINFUT_F_0", "VEN")</f>
        <v>15/04/2026</v>
      </c>
      <c r="AJ42" t="str">
        <f>RTD("rtdtrading.rtdserver",, "WINFUT_F_0", "VAL")</f>
        <v>15/04/2026</v>
      </c>
      <c r="AK42">
        <f>RTD("rtdtrading.rtdserver",, "WINFUT_F_0", "CAB")</f>
        <v>864148</v>
      </c>
      <c r="AL42" t="str">
        <f>RTD("rtdtrading.rtdserver",, "WINFUT_F_0", "EST")</f>
        <v>Aberto</v>
      </c>
      <c r="AM42" t="str">
        <f>RTD("rtdtrading.rtdserver",, "WINFUT_F_0", "BLACK")</f>
        <v>-</v>
      </c>
      <c r="AN42" t="str">
        <f>RTD("rtdtrading.rtdserver",, "WINFUT_F_0", "IMPVT")</f>
        <v>-</v>
      </c>
      <c r="AO42" t="str">
        <f>RTD("rtdtrading.rtdserver",, "WINFUT_F_0", "DELTA")</f>
        <v>-</v>
      </c>
      <c r="AP42" t="str">
        <f>RTD("rtdtrading.rtdserver",, "WINFUT_F_0", "GAMA")</f>
        <v>-</v>
      </c>
      <c r="AQ42" t="str">
        <f>RTD("rtdtrading.rtdserver",, "WINFUT_F_0", "THETA")</f>
        <v>-</v>
      </c>
      <c r="AR42" t="str">
        <f>RTD("rtdtrading.rtdserver",, "WINFUT_F_0", "RHO")</f>
        <v>-</v>
      </c>
      <c r="AS42" t="str">
        <f>RTD("rtdtrading.rtdserver",, "WINFUT_F_0", "VEGA")</f>
        <v>-</v>
      </c>
      <c r="AT42" t="str">
        <f>RTD("rtdtrading.rtdserver",, "WINFUT_F_0", "VIA")</f>
        <v>-</v>
      </c>
      <c r="AU42" t="str">
        <f>RTD("rtdtrading.rtdserver",, "WINFUT_F_0", "VIB")</f>
        <v>-</v>
      </c>
      <c r="AV42" t="str">
        <f>RTD("rtdtrading.rtdserver",, "WINFUT_F_0", "DOBRAR")</f>
        <v>-</v>
      </c>
      <c r="AW42" t="str">
        <f>RTD("rtdtrading.rtdserver",, "WINFUT_F_0", "VIVH")</f>
        <v>-</v>
      </c>
      <c r="AX42" t="str">
        <f>RTD("rtdtrading.rtdserver",, "WINFUT_F_0", "VINT")</f>
        <v>-</v>
      </c>
      <c r="AY42" t="str">
        <f>RTD("rtdtrading.rtdserver",, "WINFUT_F_0", "VEXT")</f>
        <v>-</v>
      </c>
      <c r="AZ42" t="str">
        <f>RTD("rtdtrading.rtdserver",, "WINFUT_F_0", "101_psicotrade")</f>
        <v>0,00 0,00</v>
      </c>
      <c r="BA42" t="str">
        <f>RTD("rtdtrading.rtdserver",, "WINFUT_F_0", "67")</f>
        <v>181.604</v>
      </c>
    </row>
    <row r="43" spans="1:53" x14ac:dyDescent="0.35">
      <c r="A43" t="s">
        <v>56</v>
      </c>
      <c r="B43" t="str">
        <f>RTD("rtdtrading.rtdserver",, "BITFUT_F_0", "DAT")</f>
        <v>13/03/2026</v>
      </c>
      <c r="C43" t="str">
        <f>RTD("rtdtrading.rtdserver",, "BITFUT_F_0", "HOR")</f>
        <v>15:11:30</v>
      </c>
      <c r="D43">
        <f>RTD("rtdtrading.rtdserver",, "BITFUT_F_0", "ULT")</f>
        <v>378540</v>
      </c>
      <c r="E43">
        <f>RTD("rtdtrading.rtdserver",, "BITFUT_F_0", "ABE")</f>
        <v>381680</v>
      </c>
      <c r="F43">
        <f>RTD("rtdtrading.rtdserver",, "BITFUT_F_0", "MAX")</f>
        <v>389480</v>
      </c>
      <c r="G43">
        <f>RTD("rtdtrading.rtdserver",, "BITFUT_F_0", "MIN")</f>
        <v>377540</v>
      </c>
      <c r="H43">
        <f>RTD("rtdtrading.rtdserver",, "BITFUT_F_0", "FEC")</f>
        <v>371920</v>
      </c>
      <c r="I43">
        <f>RTD("rtdtrading.rtdserver",, "BITFUT_F_0", "PEX")</f>
        <v>0</v>
      </c>
      <c r="J43">
        <f>RTD("rtdtrading.rtdserver",, "BITFUT_F_0", "VAR")</f>
        <v>1.7799526779952679</v>
      </c>
      <c r="K43">
        <f>RTD("rtdtrading.rtdserver",, "BITFUT_F_0", "VARPTS")</f>
        <v>6620</v>
      </c>
      <c r="L43">
        <f>RTD("rtdtrading.rtdserver",, "BITFUT_F_0", "MED")</f>
        <v>383462.77084487444</v>
      </c>
      <c r="M43" t="s">
        <v>57</v>
      </c>
      <c r="N43">
        <f>RTD("rtdtrading.rtdserver",, "BITFUT_F_0", "NEG")</f>
        <v>84112</v>
      </c>
      <c r="O43">
        <f>RTD("rtdtrading.rtdserver",, "BITFUT_F_0", "QUL")</f>
        <v>7</v>
      </c>
      <c r="P43">
        <f>RTD("rtdtrading.rtdserver",, "BITFUT_F_0", "QTT")</f>
        <v>472946</v>
      </c>
      <c r="Q43">
        <f>RTD("rtdtrading.rtdserver",, "BITFUT_F_0", "VOL")</f>
        <v>1813571836.2</v>
      </c>
      <c r="R43">
        <f>RTD("rtdtrading.rtdserver",, "BITFUT_F_0", "OCP")</f>
        <v>378380</v>
      </c>
      <c r="S43">
        <f>RTD("rtdtrading.rtdserver",, "BITFUT_F_0", "OVD")</f>
        <v>378440</v>
      </c>
      <c r="T43">
        <f>RTD("rtdtrading.rtdserver",, "BITFUT_F_0", "VOC")</f>
        <v>54</v>
      </c>
      <c r="U43">
        <f>RTD("rtdtrading.rtdserver",, "BITFUT_F_0", "VOV")</f>
        <v>17</v>
      </c>
      <c r="V43">
        <f>RTD("rtdtrading.rtdserver",, "BITFUT_F_0", "AJU")</f>
        <v>0</v>
      </c>
      <c r="W43">
        <f>RTD("rtdtrading.rtdserver",, "BITFUT_F_0", "AJA")</f>
        <v>372087.3</v>
      </c>
      <c r="X43">
        <f>RTD("rtdtrading.rtdserver",, "BITFUT_F_0", "PRT")</f>
        <v>0</v>
      </c>
      <c r="Y43">
        <f>RTD("rtdtrading.rtdserver",, "BITFUT_F_0", "QTE")</f>
        <v>0</v>
      </c>
      <c r="Z43">
        <f>RTD("rtdtrading.rtdserver",, "BITFUT_F_0", "VPJ")</f>
        <v>2435903044.8253555</v>
      </c>
      <c r="AA43">
        <f>RTD("rtdtrading.rtdserver",, "BITFUT_F_0", "SEM")</f>
        <v>4.8587257617728525</v>
      </c>
      <c r="AB43">
        <f>RTD("rtdtrading.rtdserver",, "BITFUT_F_0", "MES")</f>
        <v>11.06090834409107</v>
      </c>
      <c r="AC43">
        <f>RTD("rtdtrading.rtdserver",, "BITFUT_F_0", "3M")</f>
        <v>-28.380282554611025</v>
      </c>
      <c r="AD43">
        <f>RTD("rtdtrading.rtdserver",, "BITFUT_F_0", "6M")</f>
        <v>-44.258469074827254</v>
      </c>
      <c r="AE43">
        <f>RTD("rtdtrading.rtdserver",, "BITFUT_F_0", "12M")</f>
        <v>-34.529359018698742</v>
      </c>
      <c r="AF43">
        <f>RTD("rtdtrading.rtdserver",, "BITFUT_F_0", "ANO")</f>
        <v>-24.38080940064409</v>
      </c>
      <c r="AG43">
        <f>RTD("rtdtrading.rtdserver",, "BITFUT_F_0", "TRIM")</f>
        <v>-24.38080940064409</v>
      </c>
      <c r="AH43">
        <f>RTD("rtdtrading.rtdserver",, "BITFUT_F_0", "SEMES")</f>
        <v>-24.38080940064409</v>
      </c>
      <c r="AI43" t="str">
        <f>RTD("rtdtrading.rtdserver",, "BITFUT_F_0", "VEN")</f>
        <v>27/03/2026</v>
      </c>
      <c r="AJ43" t="str">
        <f>RTD("rtdtrading.rtdserver",, "BITFUT_F_0", "VAL")</f>
        <v>27/03/2026</v>
      </c>
      <c r="AK43">
        <f>RTD("rtdtrading.rtdserver",, "BITFUT_F_0", "CAB")</f>
        <v>21560</v>
      </c>
      <c r="AL43" t="str">
        <f>RTD("rtdtrading.rtdserver",, "BITFUT_F_0", "EST")</f>
        <v>Aberto</v>
      </c>
      <c r="AM43" t="str">
        <f>RTD("rtdtrading.rtdserver",, "BITFUT_F_0", "BLACK")</f>
        <v>-</v>
      </c>
      <c r="AN43" t="str">
        <f>RTD("rtdtrading.rtdserver",, "BITFUT_F_0", "IMPVT")</f>
        <v>-</v>
      </c>
      <c r="AO43" t="str">
        <f>RTD("rtdtrading.rtdserver",, "BITFUT_F_0", "DELTA")</f>
        <v>-</v>
      </c>
      <c r="AP43" t="str">
        <f>RTD("rtdtrading.rtdserver",, "BITFUT_F_0", "GAMA")</f>
        <v>-</v>
      </c>
      <c r="AQ43" t="str">
        <f>RTD("rtdtrading.rtdserver",, "BITFUT_F_0", "THETA")</f>
        <v>-</v>
      </c>
      <c r="AR43" t="str">
        <f>RTD("rtdtrading.rtdserver",, "BITFUT_F_0", "RHO")</f>
        <v>-</v>
      </c>
      <c r="AS43" t="str">
        <f>RTD("rtdtrading.rtdserver",, "BITFUT_F_0", "VEGA")</f>
        <v>-</v>
      </c>
      <c r="AT43" t="str">
        <f>RTD("rtdtrading.rtdserver",, "BITFUT_F_0", "VIA")</f>
        <v>-</v>
      </c>
      <c r="AU43" t="str">
        <f>RTD("rtdtrading.rtdserver",, "BITFUT_F_0", "VIB")</f>
        <v>-</v>
      </c>
      <c r="AV43" t="str">
        <f>RTD("rtdtrading.rtdserver",, "BITFUT_F_0", "DOBRAR")</f>
        <v>-</v>
      </c>
      <c r="AW43" t="str">
        <f>RTD("rtdtrading.rtdserver",, "BITFUT_F_0", "VIVH")</f>
        <v>-</v>
      </c>
      <c r="AX43" t="str">
        <f>RTD("rtdtrading.rtdserver",, "BITFUT_F_0", "VINT")</f>
        <v>-</v>
      </c>
      <c r="AY43" t="str">
        <f>RTD("rtdtrading.rtdserver",, "BITFUT_F_0", "VEXT")</f>
        <v>-</v>
      </c>
      <c r="AZ43" t="str">
        <f>RTD("rtdtrading.rtdserver",, "BITFUT_F_0", "101_psicotrade")</f>
        <v>0,00 0,00</v>
      </c>
      <c r="BA43" t="str">
        <f>RTD("rtdtrading.rtdserver",, "BITFUT_F_0", "67")</f>
        <v>383.462,77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15F-C0D8-4194-8C2D-6FB040CFFA91}">
  <dimension ref="A1:BA26"/>
  <sheetViews>
    <sheetView topLeftCell="AQ22" workbookViewId="0">
      <selection activeCell="AQ22" sqref="A1:XFD1048576"/>
    </sheetView>
  </sheetViews>
  <sheetFormatPr defaultRowHeight="14.5" x14ac:dyDescent="0.35"/>
  <sheetData>
    <row r="1" spans="1:53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3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1:53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pans="1:53" x14ac:dyDescent="0.3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26" spans="21:21" x14ac:dyDescent="0.35">
      <c r="U26" s="1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Ações</vt:lpstr>
      <vt:lpstr>Futuros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Farrofa DeBacon</dc:creator>
  <cp:keywords/>
  <dc:description/>
  <cp:lastModifiedBy>Farrofa DeBacon</cp:lastModifiedBy>
  <cp:revision/>
  <dcterms:created xsi:type="dcterms:W3CDTF">2026-02-04T01:07:48Z</dcterms:created>
  <dcterms:modified xsi:type="dcterms:W3CDTF">2026-03-13T18:11:41Z</dcterms:modified>
  <cp:category/>
  <cp:contentStatus/>
</cp:coreProperties>
</file>